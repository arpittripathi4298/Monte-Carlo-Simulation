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55141d0bd7c7e8/Desktop/"/>
    </mc:Choice>
  </mc:AlternateContent>
  <xr:revisionPtr revIDLastSave="1431" documentId="8_{50D236B4-EA55-4B02-A5DF-75B1BFDBBDB3}" xr6:coauthVersionLast="47" xr6:coauthVersionMax="47" xr10:uidLastSave="{5F51B81B-A601-4DA0-9E00-C7BFDA0D64F5}"/>
  <bookViews>
    <workbookView xWindow="-98" yWindow="-98" windowWidth="21795" windowHeight="12345" activeTab="3" xr2:uid="{2155982F-53D7-4327-89E1-96A5828EA8C8}"/>
  </bookViews>
  <sheets>
    <sheet name="Milk Profit forecasting" sheetId="1" r:id="rId1"/>
    <sheet name="Car Service Ramaining Forecasti" sheetId="2" r:id="rId2"/>
    <sheet name="Profit &amp; Loss Forecasting" sheetId="3" r:id="rId3"/>
    <sheet name="Tuscon Mills" sheetId="4" r:id="rId4"/>
  </sheets>
  <definedNames>
    <definedName name="_xlnm._FilterDatabase" localSheetId="2" hidden="1">'Profit &amp; Loss Forecasting'!$B$19:$E$33</definedName>
    <definedName name="_xlnm.Criteria" localSheetId="2">'Profit &amp; Loss Forecasting'!#REF!</definedName>
    <definedName name="_xlnm.Extract" localSheetId="2">'Profit &amp; Loss Forecasting'!$J$19:$M$19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3" l="1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N33" i="3"/>
  <c r="P33" i="3"/>
  <c r="N32" i="3"/>
  <c r="P32" i="3"/>
  <c r="N31" i="3"/>
  <c r="P31" i="3"/>
  <c r="N30" i="3"/>
  <c r="P30" i="3"/>
  <c r="N29" i="3"/>
  <c r="P29" i="3"/>
  <c r="N28" i="3"/>
  <c r="P28" i="3"/>
  <c r="N27" i="3"/>
  <c r="P27" i="3"/>
  <c r="N26" i="3"/>
  <c r="P26" i="3"/>
  <c r="N25" i="3"/>
  <c r="P25" i="3"/>
  <c r="N24" i="3"/>
  <c r="P24" i="3"/>
  <c r="N23" i="3"/>
  <c r="P23" i="3"/>
  <c r="N22" i="3"/>
  <c r="P22" i="3"/>
  <c r="N21" i="3"/>
  <c r="P21" i="3"/>
  <c r="N20" i="3"/>
  <c r="P20" i="3"/>
  <c r="P34" i="3"/>
  <c r="Q3" i="4"/>
  <c r="I3" i="4"/>
  <c r="I4" i="4" s="1"/>
  <c r="R3" i="4"/>
  <c r="T2" i="4"/>
  <c r="E3" i="4"/>
  <c r="D2" i="4"/>
  <c r="D3" i="4"/>
  <c r="F3" i="4"/>
  <c r="E4" i="4"/>
  <c r="D4" i="4"/>
  <c r="F4" i="4"/>
  <c r="E5" i="4"/>
  <c r="D5" i="4"/>
  <c r="F5" i="4"/>
  <c r="E6" i="4"/>
  <c r="D6" i="4"/>
  <c r="F6" i="4"/>
  <c r="E7" i="4"/>
  <c r="D7" i="4"/>
  <c r="F7" i="4"/>
  <c r="E8" i="4"/>
  <c r="H4" i="4"/>
  <c r="J15" i="4"/>
  <c r="H5" i="4"/>
  <c r="H6" i="4"/>
  <c r="H7" i="4"/>
  <c r="H8" i="4"/>
  <c r="H9" i="4"/>
  <c r="H10" i="4"/>
  <c r="H11" i="4"/>
  <c r="J14" i="4"/>
  <c r="I2" i="4"/>
  <c r="M2" i="4"/>
  <c r="M2" i="3"/>
  <c r="N2" i="3"/>
  <c r="O2" i="3"/>
  <c r="N3" i="3"/>
  <c r="M3" i="3"/>
  <c r="O3" i="3"/>
  <c r="N4" i="3"/>
  <c r="M4" i="3"/>
  <c r="O4" i="3"/>
  <c r="N5" i="3"/>
  <c r="R3" i="3"/>
  <c r="R2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E2" i="3"/>
  <c r="V2" i="3"/>
  <c r="D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  <c r="R3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I31" i="2"/>
  <c r="M3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M3" i="2"/>
  <c r="K3" i="2"/>
  <c r="K4" i="2"/>
  <c r="K5" i="2"/>
  <c r="K6" i="2"/>
  <c r="K7" i="2"/>
  <c r="D3" i="2"/>
  <c r="B3" i="2"/>
  <c r="B4" i="2"/>
  <c r="B5" i="2"/>
  <c r="B6" i="2"/>
  <c r="B7" i="2"/>
  <c r="B8" i="2"/>
  <c r="B9" i="2"/>
  <c r="B10" i="2"/>
  <c r="O2" i="2"/>
  <c r="N3" i="2"/>
  <c r="N2" i="2"/>
  <c r="F2" i="2"/>
  <c r="E3" i="2"/>
  <c r="E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H2" i="1"/>
  <c r="G2" i="1"/>
  <c r="M4" i="2"/>
  <c r="O3" i="2"/>
  <c r="F3" i="2"/>
  <c r="D4" i="2"/>
  <c r="P2" i="2"/>
  <c r="G2" i="2"/>
  <c r="L6" i="1"/>
  <c r="I2" i="1"/>
  <c r="G3" i="1"/>
  <c r="O4" i="2"/>
  <c r="N5" i="2"/>
  <c r="M5" i="2"/>
  <c r="P3" i="2"/>
  <c r="N4" i="2"/>
  <c r="G3" i="2"/>
  <c r="E4" i="2"/>
  <c r="F4" i="2"/>
  <c r="E5" i="2"/>
  <c r="D5" i="2"/>
  <c r="M6" i="1"/>
  <c r="I3" i="1"/>
  <c r="H4" i="1"/>
  <c r="J4" i="1"/>
  <c r="G4" i="1"/>
  <c r="O5" i="2"/>
  <c r="M6" i="2"/>
  <c r="P4" i="2"/>
  <c r="G4" i="2"/>
  <c r="F5" i="2"/>
  <c r="D6" i="2"/>
  <c r="I4" i="1"/>
  <c r="H5" i="1"/>
  <c r="J5" i="1"/>
  <c r="G5" i="1"/>
  <c r="P5" i="2"/>
  <c r="N6" i="2"/>
  <c r="O6" i="2"/>
  <c r="N7" i="2"/>
  <c r="M7" i="2"/>
  <c r="O7" i="2"/>
  <c r="G5" i="2"/>
  <c r="E6" i="2"/>
  <c r="F6" i="2"/>
  <c r="E7" i="2"/>
  <c r="D7" i="2"/>
  <c r="G6" i="1"/>
  <c r="I5" i="1"/>
  <c r="R30" i="2"/>
  <c r="R10" i="2"/>
  <c r="R29" i="2"/>
  <c r="R9" i="2"/>
  <c r="R28" i="2"/>
  <c r="R8" i="2"/>
  <c r="R27" i="2"/>
  <c r="R7" i="2"/>
  <c r="R26" i="2"/>
  <c r="R6" i="2"/>
  <c r="R25" i="2"/>
  <c r="R5" i="2"/>
  <c r="R24" i="2"/>
  <c r="R4" i="2"/>
  <c r="R23" i="2"/>
  <c r="R3" i="2"/>
  <c r="R22" i="2"/>
  <c r="R2" i="2"/>
  <c r="R21" i="2"/>
  <c r="R20" i="2"/>
  <c r="R19" i="2"/>
  <c r="R18" i="2"/>
  <c r="R17" i="2"/>
  <c r="R16" i="2"/>
  <c r="R15" i="2"/>
  <c r="R14" i="2"/>
  <c r="R13" i="2"/>
  <c r="R12" i="2"/>
  <c r="R11" i="2"/>
  <c r="P6" i="2"/>
  <c r="G6" i="2"/>
  <c r="F7" i="2"/>
  <c r="D8" i="2"/>
  <c r="P7" i="2"/>
  <c r="I6" i="1"/>
  <c r="H7" i="1"/>
  <c r="G7" i="1"/>
  <c r="H6" i="1"/>
  <c r="G7" i="2"/>
  <c r="E8" i="2"/>
  <c r="F8" i="2"/>
  <c r="E9" i="2"/>
  <c r="D9" i="2"/>
  <c r="I7" i="1"/>
  <c r="G8" i="1"/>
  <c r="I8" i="1"/>
  <c r="J6" i="1"/>
  <c r="G8" i="2"/>
  <c r="F9" i="2"/>
  <c r="D10" i="2"/>
  <c r="F10" i="2"/>
  <c r="J7" i="1"/>
  <c r="H8" i="1"/>
  <c r="G9" i="2"/>
  <c r="E10" i="2"/>
  <c r="J8" i="1"/>
  <c r="G10" i="2"/>
  <c r="AG2" i="3"/>
  <c r="AF3" i="3"/>
  <c r="AF2" i="3"/>
  <c r="AH2" i="3"/>
  <c r="AE3" i="3"/>
  <c r="AE4" i="3" s="1"/>
  <c r="X2" i="3"/>
  <c r="W3" i="3"/>
  <c r="W2" i="3"/>
  <c r="V3" i="3"/>
  <c r="D3" i="3"/>
  <c r="E2" i="3"/>
  <c r="F2" i="3"/>
  <c r="E3" i="3"/>
  <c r="H3" i="1"/>
  <c r="J2" i="1"/>
  <c r="Q6" i="1"/>
  <c r="P6" i="1"/>
  <c r="R6" i="1"/>
  <c r="S6" i="1"/>
  <c r="AG3" i="3"/>
  <c r="Y2" i="3"/>
  <c r="AA2" i="3"/>
  <c r="V4" i="3"/>
  <c r="X3" i="3"/>
  <c r="P2" i="3"/>
  <c r="G2" i="3"/>
  <c r="I13" i="3"/>
  <c r="I14" i="3"/>
  <c r="I6" i="3"/>
  <c r="I7" i="3"/>
  <c r="F3" i="3"/>
  <c r="D4" i="3"/>
  <c r="L10" i="1"/>
  <c r="L15" i="1"/>
  <c r="J3" i="1"/>
  <c r="L22" i="1"/>
  <c r="L20" i="1"/>
  <c r="L23" i="1"/>
  <c r="L3" i="1"/>
  <c r="L24" i="1"/>
  <c r="L4" i="1"/>
  <c r="L5" i="1"/>
  <c r="L7" i="1"/>
  <c r="L8" i="1"/>
  <c r="L19" i="1"/>
  <c r="L2" i="1"/>
  <c r="L21" i="1"/>
  <c r="L13" i="1"/>
  <c r="L14" i="1"/>
  <c r="L25" i="1"/>
  <c r="L9" i="1"/>
  <c r="L12" i="1"/>
  <c r="L17" i="1"/>
  <c r="L16" i="1"/>
  <c r="L11" i="1"/>
  <c r="L18" i="1"/>
  <c r="AH3" i="3"/>
  <c r="AF4" i="3"/>
  <c r="X4" i="3"/>
  <c r="W5" i="3"/>
  <c r="V5" i="3"/>
  <c r="Y3" i="3"/>
  <c r="W4" i="3"/>
  <c r="P3" i="3"/>
  <c r="M5" i="3"/>
  <c r="O5" i="3"/>
  <c r="G3" i="3"/>
  <c r="E4" i="3"/>
  <c r="F4" i="3"/>
  <c r="E5" i="3"/>
  <c r="D5" i="3"/>
  <c r="F5" i="3"/>
  <c r="M10" i="1"/>
  <c r="M15" i="1"/>
  <c r="M22" i="1"/>
  <c r="M20" i="1"/>
  <c r="M23" i="1"/>
  <c r="M3" i="1"/>
  <c r="M24" i="1"/>
  <c r="M4" i="1"/>
  <c r="M5" i="1"/>
  <c r="M7" i="1"/>
  <c r="M8" i="1"/>
  <c r="M19" i="1"/>
  <c r="M2" i="1"/>
  <c r="M21" i="1"/>
  <c r="M13" i="1"/>
  <c r="M14" i="1"/>
  <c r="M25" i="1"/>
  <c r="M9" i="1"/>
  <c r="M12" i="1"/>
  <c r="M17" i="1"/>
  <c r="M16" i="1"/>
  <c r="M11" i="1"/>
  <c r="M18" i="1"/>
  <c r="S31" i="2"/>
  <c r="M27" i="2"/>
  <c r="AJ2" i="3"/>
  <c r="AJ12" i="3"/>
  <c r="AJ11" i="3"/>
  <c r="AJ10" i="3"/>
  <c r="AJ9" i="3"/>
  <c r="AJ8" i="3"/>
  <c r="AJ6" i="3"/>
  <c r="AJ5" i="3"/>
  <c r="AJ4" i="3"/>
  <c r="AJ15" i="3"/>
  <c r="X5" i="3"/>
  <c r="V6" i="3"/>
  <c r="X6" i="3" s="1"/>
  <c r="AA12" i="3"/>
  <c r="Y4" i="3"/>
  <c r="R4" i="3"/>
  <c r="R5" i="3"/>
  <c r="R6" i="3"/>
  <c r="R7" i="3"/>
  <c r="R8" i="3"/>
  <c r="R9" i="3"/>
  <c r="R10" i="3"/>
  <c r="R11" i="3"/>
  <c r="R12" i="3"/>
  <c r="R13" i="3"/>
  <c r="R14" i="3"/>
  <c r="R15" i="3"/>
  <c r="P4" i="3"/>
  <c r="P5" i="3"/>
  <c r="I11" i="3"/>
  <c r="I15" i="3"/>
  <c r="I3" i="3"/>
  <c r="I4" i="3"/>
  <c r="I5" i="3"/>
  <c r="I8" i="3"/>
  <c r="I9" i="3"/>
  <c r="I10" i="3"/>
  <c r="I2" i="3"/>
  <c r="I12" i="3"/>
  <c r="G5" i="3"/>
  <c r="G4" i="3"/>
  <c r="P10" i="1"/>
  <c r="Q10" i="1"/>
  <c r="P15" i="1"/>
  <c r="Q15" i="1"/>
  <c r="Q22" i="1"/>
  <c r="P22" i="1"/>
  <c r="R22" i="1"/>
  <c r="S22" i="1"/>
  <c r="Q20" i="1"/>
  <c r="P20" i="1"/>
  <c r="R20" i="1"/>
  <c r="S20" i="1"/>
  <c r="P23" i="1"/>
  <c r="Q23" i="1"/>
  <c r="P3" i="1"/>
  <c r="Q3" i="1"/>
  <c r="Q24" i="1"/>
  <c r="P24" i="1"/>
  <c r="R24" i="1"/>
  <c r="S24" i="1"/>
  <c r="P4" i="1"/>
  <c r="Q4" i="1"/>
  <c r="P5" i="1"/>
  <c r="Q5" i="1"/>
  <c r="P7" i="1"/>
  <c r="Q7" i="1"/>
  <c r="P8" i="1"/>
  <c r="Q8" i="1"/>
  <c r="Q19" i="1"/>
  <c r="P19" i="1"/>
  <c r="R19" i="1"/>
  <c r="S19" i="1"/>
  <c r="Q2" i="1"/>
  <c r="P2" i="1"/>
  <c r="P21" i="1"/>
  <c r="Q21" i="1"/>
  <c r="P13" i="1"/>
  <c r="Q13" i="1"/>
  <c r="P14" i="1"/>
  <c r="Q14" i="1"/>
  <c r="Q25" i="1"/>
  <c r="P25" i="1"/>
  <c r="R25" i="1"/>
  <c r="S25" i="1"/>
  <c r="P9" i="1"/>
  <c r="Q9" i="1"/>
  <c r="P12" i="1"/>
  <c r="Q12" i="1"/>
  <c r="P17" i="1"/>
  <c r="Q17" i="1"/>
  <c r="P16" i="1"/>
  <c r="Q16" i="1"/>
  <c r="P11" i="1"/>
  <c r="Q11" i="1"/>
  <c r="Q18" i="1"/>
  <c r="P18" i="1"/>
  <c r="R18" i="1"/>
  <c r="S18" i="1"/>
  <c r="Y5" i="3"/>
  <c r="W6" i="3"/>
  <c r="R11" i="1"/>
  <c r="S11" i="1"/>
  <c r="R2" i="1"/>
  <c r="S2" i="1"/>
  <c r="R23" i="1"/>
  <c r="R3" i="1"/>
  <c r="R4" i="1"/>
  <c r="S4" i="1"/>
  <c r="R5" i="1"/>
  <c r="S5" i="1"/>
  <c r="R7" i="1"/>
  <c r="S7" i="1"/>
  <c r="R8" i="1"/>
  <c r="S8" i="1"/>
  <c r="R21" i="1"/>
  <c r="S21" i="1"/>
  <c r="R13" i="1"/>
  <c r="S13" i="1"/>
  <c r="R14" i="1"/>
  <c r="S14" i="1"/>
  <c r="R17" i="1"/>
  <c r="S17" i="1"/>
  <c r="R16" i="1"/>
  <c r="S16" i="1"/>
  <c r="R9" i="1"/>
  <c r="S9" i="1"/>
  <c r="R12" i="1"/>
  <c r="S12" i="1"/>
  <c r="R10" i="1"/>
  <c r="S10" i="1"/>
  <c r="R15" i="1"/>
  <c r="S15" i="1"/>
  <c r="AA14" i="3"/>
  <c r="AA13" i="3"/>
  <c r="AA11" i="3"/>
  <c r="AA10" i="3"/>
  <c r="AA9" i="3"/>
  <c r="AA8" i="3"/>
  <c r="AA7" i="3"/>
  <c r="AA6" i="3"/>
  <c r="AA5" i="3"/>
  <c r="AA4" i="3"/>
  <c r="AA3" i="3"/>
  <c r="AA15" i="3"/>
  <c r="S3" i="1"/>
  <c r="F27" i="1"/>
  <c r="S23" i="1"/>
  <c r="F28" i="1"/>
  <c r="F29" i="1"/>
  <c r="G28" i="1"/>
  <c r="G29" i="1"/>
  <c r="G27" i="1"/>
  <c r="R2" i="4"/>
  <c r="O2" i="4"/>
  <c r="N3" i="4"/>
  <c r="N2" i="4"/>
  <c r="M3" i="4"/>
  <c r="O3" i="4"/>
  <c r="N4" i="4"/>
  <c r="M4" i="4"/>
  <c r="M5" i="4"/>
  <c r="O4" i="4"/>
  <c r="N5" i="4"/>
  <c r="M6" i="4"/>
  <c r="O5" i="4"/>
  <c r="N6" i="4"/>
  <c r="Q4" i="4"/>
  <c r="M7" i="4"/>
  <c r="O7" i="4"/>
  <c r="O6" i="4"/>
  <c r="N7" i="4"/>
  <c r="D8" i="4"/>
  <c r="F8" i="4"/>
  <c r="Q7" i="4"/>
  <c r="Q2" i="4"/>
  <c r="Q6" i="4"/>
  <c r="Q11" i="4"/>
  <c r="Q5" i="4"/>
  <c r="Q10" i="4"/>
  <c r="Q9" i="4"/>
  <c r="Q8" i="4"/>
  <c r="S2" i="4"/>
  <c r="U2" i="4"/>
  <c r="J18" i="4"/>
  <c r="Y6" i="3" l="1"/>
  <c r="AE5" i="3"/>
  <c r="AG4" i="3"/>
  <c r="I5" i="4"/>
  <c r="T3" i="4"/>
  <c r="S3" i="4"/>
  <c r="AE6" i="3" l="1"/>
  <c r="AG6" i="3" s="1"/>
  <c r="AG5" i="3"/>
  <c r="AF6" i="3" s="1"/>
  <c r="AH6" i="3" s="1"/>
  <c r="AH4" i="3"/>
  <c r="AF5" i="3"/>
  <c r="I6" i="4"/>
  <c r="U3" i="4"/>
  <c r="R4" i="4"/>
  <c r="AJ14" i="3" l="1"/>
  <c r="AJ13" i="3"/>
  <c r="AH5" i="3"/>
  <c r="AJ3" i="3"/>
  <c r="AJ7" i="3"/>
  <c r="I7" i="4"/>
  <c r="T4" i="4"/>
  <c r="S4" i="4"/>
  <c r="I8" i="4" l="1"/>
  <c r="R5" i="4"/>
  <c r="U4" i="4"/>
  <c r="I9" i="4" l="1"/>
  <c r="T5" i="4"/>
  <c r="S5" i="4"/>
  <c r="I10" i="4" l="1"/>
  <c r="R6" i="4"/>
  <c r="U5" i="4"/>
  <c r="I11" i="4" l="1"/>
  <c r="T6" i="4"/>
  <c r="S6" i="4"/>
  <c r="R7" i="4" l="1"/>
  <c r="U6" i="4"/>
  <c r="T7" i="4" l="1"/>
  <c r="S7" i="4"/>
  <c r="R8" i="4" l="1"/>
  <c r="U7" i="4"/>
  <c r="J16" i="4"/>
  <c r="S8" i="4" l="1"/>
  <c r="T8" i="4"/>
  <c r="R9" i="4" l="1"/>
  <c r="U8" i="4"/>
  <c r="T9" i="4" l="1"/>
  <c r="S9" i="4"/>
  <c r="R10" i="4" l="1"/>
  <c r="U9" i="4"/>
  <c r="T10" i="4" l="1"/>
  <c r="S10" i="4"/>
  <c r="R11" i="4" l="1"/>
  <c r="U10" i="4"/>
  <c r="T11" i="4" l="1"/>
  <c r="S11" i="4"/>
  <c r="U11" i="4" s="1"/>
  <c r="J17" i="4" s="1"/>
</calcChain>
</file>

<file path=xl/sharedStrings.xml><?xml version="1.0" encoding="utf-8"?>
<sst xmlns="http://schemas.openxmlformats.org/spreadsheetml/2006/main" count="117" uniqueCount="53">
  <si>
    <t>Quantity</t>
  </si>
  <si>
    <t>Cumulative Probability</t>
  </si>
  <si>
    <t>Range</t>
  </si>
  <si>
    <t>Lower Limit</t>
  </si>
  <si>
    <t>Supply Quantity</t>
  </si>
  <si>
    <t>Selling Price</t>
  </si>
  <si>
    <t>Cost Price</t>
  </si>
  <si>
    <t>Demand</t>
  </si>
  <si>
    <t>Random Number</t>
  </si>
  <si>
    <t>Sold</t>
  </si>
  <si>
    <t>Total Revenue</t>
  </si>
  <si>
    <t>Profit</t>
  </si>
  <si>
    <t>Cost</t>
  </si>
  <si>
    <t>Days</t>
  </si>
  <si>
    <t>Upper Limit</t>
  </si>
  <si>
    <t>Probability</t>
  </si>
  <si>
    <t>Cars</t>
  </si>
  <si>
    <t>Car Servicing Completed</t>
  </si>
  <si>
    <t>Remaining</t>
  </si>
  <si>
    <t>Avg Rate of Remaining Cars</t>
  </si>
  <si>
    <t>Avg Rate of Completing Cars</t>
  </si>
  <si>
    <t>Revenue</t>
  </si>
  <si>
    <t>Revenue(Demand&gt;=Supply)</t>
  </si>
  <si>
    <t>Revenue(Demand&lt;Supply)</t>
  </si>
  <si>
    <t>Average</t>
  </si>
  <si>
    <t>MAX</t>
  </si>
  <si>
    <t>MIN</t>
  </si>
  <si>
    <t>Cars Arrived</t>
  </si>
  <si>
    <t>Variable Cost</t>
  </si>
  <si>
    <t>Fixed Cost</t>
  </si>
  <si>
    <t>Output</t>
  </si>
  <si>
    <t>Batch</t>
  </si>
  <si>
    <t xml:space="preserve"> Time Between Breakdowns(in minutes)</t>
  </si>
  <si>
    <t>Relative Frequency</t>
  </si>
  <si>
    <t>Cumulative Frequency</t>
  </si>
  <si>
    <t>Service Time (in minutes)</t>
  </si>
  <si>
    <t>Service Time</t>
  </si>
  <si>
    <t>Breakdowns Time</t>
  </si>
  <si>
    <t>Repair Start</t>
  </si>
  <si>
    <t>Repaie End</t>
  </si>
  <si>
    <t>Downtime</t>
  </si>
  <si>
    <t>1. Calculate the average time a machine is down once it breaks down?</t>
  </si>
  <si>
    <t>2. At what time does the third breakdown occur?</t>
  </si>
  <si>
    <t>3.For the ten breakdowns simulated, what is the average amount of time (in minutes) a machine is offline/down once it breraks down? (round to 1 decimal)</t>
  </si>
  <si>
    <t>5. For the same ten breakdowns, if there are two repair persons,what is the average downtime (in minutes) once a machine breaks down?</t>
  </si>
  <si>
    <t>3. At what time is the repair of the 6th breakdown complete?</t>
  </si>
  <si>
    <t>BreakDown</t>
  </si>
  <si>
    <t>Waiting Time</t>
  </si>
  <si>
    <t>Break Down</t>
  </si>
  <si>
    <t>Due to loss if order is declined then a penalty of Rs.5000 will be paid</t>
  </si>
  <si>
    <t xml:space="preserve">Exp.Revenue </t>
  </si>
  <si>
    <t>Penalty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</si>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</sst>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;\(#,##0\)"/>
    <numFmt numFmtId="169" formatCode="0.000"/>
  </numFmts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/>
    <xf numFmtId="0" fontId="4" fillId="7" borderId="0" xfId="0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6" xfId="0" applyNumberFormat="1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6"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1" defaultTableStyle="TableStyleMedium2" defaultPivotStyle="PivotStyleLight16">
    <tableStyle name="Invisible" pivot="0" table="0" count="0" xr9:uid="{E1968F03-C55A-4DD0-A869-3E209E21F4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Monte Carlo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0"/>
          <c:tx>
            <c:strRef>
              <c:f>'Milk Profit forecasting'!$L$1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'Milk Profit forecasting'!$A$2:$A$25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'Milk Profit forecasting'!$L$2:$L$27</c:f>
              <c:numCache>
                <c:formatCode>General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50</c:v>
                </c:pt>
                <c:pt idx="3">
                  <c:v>45</c:v>
                </c:pt>
                <c:pt idx="4">
                  <c:v>30</c:v>
                </c:pt>
                <c:pt idx="5">
                  <c:v>30</c:v>
                </c:pt>
                <c:pt idx="6">
                  <c:v>35</c:v>
                </c:pt>
                <c:pt idx="7">
                  <c:v>50</c:v>
                </c:pt>
                <c:pt idx="8">
                  <c:v>40</c:v>
                </c:pt>
                <c:pt idx="9">
                  <c:v>55</c:v>
                </c:pt>
                <c:pt idx="10">
                  <c:v>45</c:v>
                </c:pt>
                <c:pt idx="11">
                  <c:v>55</c:v>
                </c:pt>
                <c:pt idx="12">
                  <c:v>35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45</c:v>
                </c:pt>
                <c:pt idx="17">
                  <c:v>45</c:v>
                </c:pt>
                <c:pt idx="18">
                  <c:v>50</c:v>
                </c:pt>
                <c:pt idx="19">
                  <c:v>45</c:v>
                </c:pt>
                <c:pt idx="20">
                  <c:v>35</c:v>
                </c:pt>
                <c:pt idx="21">
                  <c:v>45</c:v>
                </c:pt>
                <c:pt idx="22">
                  <c:v>55</c:v>
                </c:pt>
                <c:pt idx="2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39-4D45-8267-4DB0EAF242A7}"/>
            </c:ext>
          </c:extLst>
        </c:ser>
        <c:ser>
          <c:idx val="17"/>
          <c:order val="1"/>
          <c:tx>
            <c:strRef>
              <c:f>'Milk Profit forecasting'!$R$1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'Milk Profit forecasting'!$A$2:$A$25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'Milk Profit forecasting'!$R$2:$R$27</c:f>
              <c:numCache>
                <c:formatCode>General</c:formatCode>
                <c:ptCount val="26"/>
                <c:pt idx="0">
                  <c:v>75</c:v>
                </c:pt>
                <c:pt idx="1">
                  <c:v>75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75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75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A39-4D45-8267-4DB0EAF242A7}"/>
            </c:ext>
          </c:extLst>
        </c:ser>
        <c:ser>
          <c:idx val="18"/>
          <c:order val="2"/>
          <c:tx>
            <c:strRef>
              <c:f>'Milk Profit forecasting'!$S$1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'Milk Profit forecasting'!$A$2:$A$25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'Milk Profit forecasting'!$S$2:$S$27</c:f>
              <c:numCache>
                <c:formatCode>General</c:formatCode>
                <c:ptCount val="26"/>
                <c:pt idx="0">
                  <c:v>35</c:v>
                </c:pt>
                <c:pt idx="1">
                  <c:v>35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35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35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A39-4D45-8267-4DB0EAF24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3884383"/>
        <c:axId val="840114703"/>
      </c:barChart>
      <c:catAx>
        <c:axId val="87388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114703"/>
        <c:crosses val="autoZero"/>
        <c:auto val="1"/>
        <c:lblAlgn val="ctr"/>
        <c:lblOffset val="100"/>
        <c:noMultiLvlLbl val="0"/>
      </c:catAx>
      <c:valAx>
        <c:axId val="8401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8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Car Service Simulation</a:t>
            </a:r>
          </a:p>
        </c:rich>
      </c:tx>
      <c:layout>
        <c:manualLayout>
          <c:xMode val="edge"/>
          <c:yMode val="edge"/>
          <c:x val="0.36576029273713051"/>
          <c:y val="2.4446151896581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350786443665329E-2"/>
          <c:y val="0.11852309311192778"/>
          <c:w val="0.88288522328869479"/>
          <c:h val="0.67287616035007403"/>
        </c:manualLayout>
      </c:layout>
      <c:barChart>
        <c:barDir val="col"/>
        <c:grouping val="clustered"/>
        <c:varyColors val="0"/>
        <c:ser>
          <c:idx val="8"/>
          <c:order val="0"/>
          <c:tx>
            <c:strRef>
              <c:f>'Car Service Ramaining Forecasti'!$I$1</c:f>
              <c:strCache>
                <c:ptCount val="1"/>
                <c:pt idx="0">
                  <c:v>Cars Arrived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'Car Service Ramaining Forecasti'!$A$2:$A$30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'Car Service Ramaining Forecasti'!$I$2:$I$30</c:f>
              <c:numCache>
                <c:formatCode>General</c:formatCode>
                <c:ptCount val="29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6</c:v>
                </c:pt>
                <c:pt idx="25">
                  <c:v>5</c:v>
                </c:pt>
                <c:pt idx="26">
                  <c:v>7</c:v>
                </c:pt>
                <c:pt idx="27">
                  <c:v>7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CD1-4E05-82E2-514FB83F5A5B}"/>
            </c:ext>
          </c:extLst>
        </c:ser>
        <c:ser>
          <c:idx val="17"/>
          <c:order val="1"/>
          <c:tx>
            <c:strRef>
              <c:f>'Car Service Ramaining Forecasti'!$R$1</c:f>
              <c:strCache>
                <c:ptCount val="1"/>
                <c:pt idx="0">
                  <c:v>Car Servicing Completed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'Car Service Ramaining Forecasti'!$A$2:$A$30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'Car Service Ramaining Forecasti'!$R$2:$R$30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CD1-4E05-82E2-514FB83F5A5B}"/>
            </c:ext>
          </c:extLst>
        </c:ser>
        <c:ser>
          <c:idx val="18"/>
          <c:order val="2"/>
          <c:tx>
            <c:strRef>
              <c:f>'Car Service Ramaining Forecasti'!$S$1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>
                    <a:lumMod val="8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'Car Service Ramaining Forecasti'!$A$2:$A$30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'Car Service Ramaining Forecasti'!$S$2:$S$30</c:f>
              <c:numCache>
                <c:formatCode>General</c:formatCode>
                <c:ptCount val="29"/>
                <c:pt idx="0">
                  <c:v>0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13</c:v>
                </c:pt>
                <c:pt idx="8">
                  <c:v>17</c:v>
                </c:pt>
                <c:pt idx="9">
                  <c:v>17</c:v>
                </c:pt>
                <c:pt idx="10">
                  <c:v>19</c:v>
                </c:pt>
                <c:pt idx="11">
                  <c:v>23</c:v>
                </c:pt>
                <c:pt idx="12">
                  <c:v>24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34</c:v>
                </c:pt>
                <c:pt idx="18">
                  <c:v>33</c:v>
                </c:pt>
                <c:pt idx="19">
                  <c:v>33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40</c:v>
                </c:pt>
                <c:pt idx="25">
                  <c:v>42</c:v>
                </c:pt>
                <c:pt idx="26">
                  <c:v>46</c:v>
                </c:pt>
                <c:pt idx="27">
                  <c:v>53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CD1-4E05-82E2-514FB83F5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6719152"/>
        <c:axId val="1339447440"/>
      </c:barChart>
      <c:catAx>
        <c:axId val="1466719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7440"/>
        <c:crosses val="autoZero"/>
        <c:auto val="1"/>
        <c:lblAlgn val="ctr"/>
        <c:lblOffset val="100"/>
        <c:noMultiLvlLbl val="0"/>
      </c:catAx>
      <c:valAx>
        <c:axId val="13394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1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483392</xdr:colOff>
      <xdr:row>8</xdr:row>
      <xdr:rowOff>111917</xdr:rowOff>
    </xdr:from>
    <xdr:to>
      <xdr:col>9</xdr:col>
      <xdr:colOff>514350</xdr:colOff>
      <xdr:row>24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F5DDA-4625-7B6F-1769-B71C0773D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252413</xdr:colOff>
      <xdr:row>7</xdr:row>
      <xdr:rowOff>166687</xdr:rowOff>
    </xdr:from>
    <xdr:to>
      <xdr:col>16</xdr:col>
      <xdr:colOff>14289</xdr:colOff>
      <xdr:row>24</xdr:row>
      <xdr:rowOff>45241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C2D11-1BE2-72C3-14AC-A2B0CA642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001E-2047-4593-83C7-41979D8ECCCA}">
  <dimension ref="A1:S29"/>
  <sheetViews>
    <sheetView topLeftCell="O7" zoomScaleNormal="100" workbookViewId="0">
      <selection activeCell="F27" sqref="F27"/>
    </sheetView>
  </sheetViews>
  <sheetFormatPr defaultRowHeight="14.25" x14ac:dyDescent="0.45"/>
  <cols>
    <col min="1" max="1" width="9" style="3"/>
    <col min="3" max="3" width="11.3984375" bestFit="1" customWidth="1"/>
    <col min="4" max="4" width="13.86328125" bestFit="1" customWidth="1"/>
    <col min="5" max="5" width="10.86328125" bestFit="1" customWidth="1"/>
    <col min="6" max="6" width="9" customWidth="1"/>
    <col min="7" max="7" width="21.1328125" style="1" bestFit="1" customWidth="1"/>
    <col min="8" max="8" width="9.6640625" style="1" bestFit="1" customWidth="1"/>
    <col min="9" max="9" width="10.59765625" style="1" bestFit="1" customWidth="1"/>
    <col min="10" max="10" width="7.3984375" style="1" customWidth="1"/>
    <col min="11" max="11" width="14" style="1" bestFit="1" customWidth="1"/>
    <col min="12" max="13" width="9" style="1"/>
    <col min="14" max="14" width="9.265625" style="1" customWidth="1"/>
    <col min="15" max="15" width="9" style="1"/>
    <col min="16" max="16" width="23.796875" style="1" bestFit="1" customWidth="1"/>
    <col min="17" max="17" width="22.73046875" style="1" bestFit="1" customWidth="1"/>
    <col min="18" max="18" width="11.53125" style="1" bestFit="1" customWidth="1"/>
    <col min="19" max="19" width="9" style="1"/>
  </cols>
  <sheetData>
    <row r="1" spans="1:19" s="10" customFormat="1" x14ac:dyDescent="0.45">
      <c r="A1" s="4" t="s">
        <v>13</v>
      </c>
      <c r="B1" s="4" t="s">
        <v>0</v>
      </c>
      <c r="C1" s="4" t="s">
        <v>15</v>
      </c>
      <c r="D1" s="4" t="s">
        <v>4</v>
      </c>
      <c r="E1" s="4" t="s">
        <v>5</v>
      </c>
      <c r="F1" s="4" t="s">
        <v>6</v>
      </c>
      <c r="G1" s="4" t="s">
        <v>1</v>
      </c>
      <c r="H1" s="4" t="s">
        <v>3</v>
      </c>
      <c r="I1" s="4" t="s">
        <v>14</v>
      </c>
      <c r="J1" s="4" t="s">
        <v>2</v>
      </c>
      <c r="K1" s="4" t="s">
        <v>8</v>
      </c>
      <c r="L1" s="4" t="s">
        <v>7</v>
      </c>
      <c r="M1" s="4" t="s">
        <v>9</v>
      </c>
      <c r="N1" s="4" t="s">
        <v>18</v>
      </c>
      <c r="O1" s="4" t="s">
        <v>12</v>
      </c>
      <c r="P1" s="4" t="s">
        <v>22</v>
      </c>
      <c r="Q1" s="4" t="s">
        <v>23</v>
      </c>
      <c r="R1" s="4" t="s">
        <v>10</v>
      </c>
      <c r="S1" s="4" t="s">
        <v>11</v>
      </c>
    </row>
    <row r="2" spans="1:19" x14ac:dyDescent="0.45">
      <c r="A2" s="3">
        <v>1</v>
      </c>
      <c r="B2" s="1">
        <v>30</v>
      </c>
      <c r="C2" s="1">
        <v>0.08</v>
      </c>
      <c r="D2" s="1">
        <v>40</v>
      </c>
      <c r="E2" s="1">
        <v>2</v>
      </c>
      <c r="F2" s="1">
        <v>1</v>
      </c>
      <c r="G2" s="1">
        <f>C2</f>
        <v>0.08</v>
      </c>
      <c r="H2" s="1">
        <f>0</f>
        <v>0</v>
      </c>
      <c r="I2" s="1">
        <f>INT(G2*100)-1</f>
        <v>7</v>
      </c>
      <c r="J2" s="1" t="str">
        <f>H2&amp;"-"&amp;I2</f>
        <v>0-7</v>
      </c>
      <c r="K2" s="1">
        <v>18</v>
      </c>
      <c r="L2" s="1">
        <f>_xlfn.XLOOKUP(K2,$H$2:$H$8,$B$2:$B$8,,-1)</f>
        <v>35</v>
      </c>
      <c r="M2" s="1">
        <f>MIN(L2,D$2)</f>
        <v>35</v>
      </c>
      <c r="N2" s="1">
        <f>MAX(D$2-M2,0)</f>
        <v>5</v>
      </c>
      <c r="O2" s="1">
        <f>D$2*F$2</f>
        <v>40</v>
      </c>
      <c r="P2" s="1">
        <f>(M2*E$2)</f>
        <v>70</v>
      </c>
      <c r="Q2" s="1">
        <f>(N2*F$2)</f>
        <v>5</v>
      </c>
      <c r="R2" s="1">
        <f>(P2+Q2)</f>
        <v>75</v>
      </c>
      <c r="S2" s="1">
        <f>R2-O2</f>
        <v>35</v>
      </c>
    </row>
    <row r="3" spans="1:19" x14ac:dyDescent="0.45">
      <c r="A3" s="3">
        <f>A2+1</f>
        <v>2</v>
      </c>
      <c r="B3" s="1">
        <v>35</v>
      </c>
      <c r="C3" s="1">
        <v>0.16</v>
      </c>
      <c r="G3" s="1">
        <f>G2+C3</f>
        <v>0.24</v>
      </c>
      <c r="H3" s="1">
        <f>I2+1</f>
        <v>8</v>
      </c>
      <c r="I3" s="1">
        <f t="shared" ref="I3:I8" si="0">INT(G3*100)-1</f>
        <v>23</v>
      </c>
      <c r="J3" s="1" t="str">
        <f t="shared" ref="J3:J8" si="1">H3&amp;"-"&amp;I3</f>
        <v>8-23</v>
      </c>
      <c r="K3" s="1">
        <v>9</v>
      </c>
      <c r="L3" s="1">
        <f t="shared" ref="L3:L25" si="2">_xlfn.XLOOKUP(K3,$H$2:$H$8,$B$2:$B$8,,-1)</f>
        <v>35</v>
      </c>
      <c r="M3" s="1">
        <f t="shared" ref="M3:M25" si="3">MIN(L3,D$2)</f>
        <v>35</v>
      </c>
      <c r="N3" s="1">
        <f t="shared" ref="N3:N25" si="4">MAX(D$2-M3,0)</f>
        <v>5</v>
      </c>
      <c r="O3" s="1">
        <f t="shared" ref="O3:O25" si="5">D$2*F$2</f>
        <v>40</v>
      </c>
      <c r="P3" s="1">
        <f t="shared" ref="P3:P25" si="6">(M3*E$2)</f>
        <v>70</v>
      </c>
      <c r="Q3" s="1">
        <f t="shared" ref="Q3:Q25" si="7">(N3*F$2)</f>
        <v>5</v>
      </c>
      <c r="R3" s="1">
        <f t="shared" ref="R3:R25" si="8">(P3+Q3)</f>
        <v>75</v>
      </c>
      <c r="S3" s="1">
        <f t="shared" ref="S3:S25" si="9">R3-O3</f>
        <v>35</v>
      </c>
    </row>
    <row r="4" spans="1:19" x14ac:dyDescent="0.45">
      <c r="A4" s="3">
        <f t="shared" ref="A4:A25" si="10">A3+1</f>
        <v>3</v>
      </c>
      <c r="B4" s="1">
        <v>40</v>
      </c>
      <c r="C4" s="1">
        <v>0.23</v>
      </c>
      <c r="G4" s="1">
        <f t="shared" ref="G4:G8" si="11">G3+C4</f>
        <v>0.47</v>
      </c>
      <c r="H4" s="1">
        <f t="shared" ref="H4:H8" si="12">I3+1</f>
        <v>24</v>
      </c>
      <c r="I4" s="1">
        <f t="shared" si="0"/>
        <v>46</v>
      </c>
      <c r="J4" s="1" t="str">
        <f t="shared" si="1"/>
        <v>24-46</v>
      </c>
      <c r="K4" s="1">
        <v>85</v>
      </c>
      <c r="L4" s="1">
        <f t="shared" si="2"/>
        <v>50</v>
      </c>
      <c r="M4" s="1">
        <f t="shared" si="3"/>
        <v>40</v>
      </c>
      <c r="N4" s="1">
        <f t="shared" si="4"/>
        <v>0</v>
      </c>
      <c r="O4" s="1">
        <f t="shared" si="5"/>
        <v>40</v>
      </c>
      <c r="P4" s="1">
        <f t="shared" si="6"/>
        <v>80</v>
      </c>
      <c r="Q4" s="1">
        <f t="shared" si="7"/>
        <v>0</v>
      </c>
      <c r="R4" s="1">
        <f t="shared" si="8"/>
        <v>80</v>
      </c>
      <c r="S4" s="1">
        <f t="shared" si="9"/>
        <v>40</v>
      </c>
    </row>
    <row r="5" spans="1:19" x14ac:dyDescent="0.45">
      <c r="A5" s="3">
        <f t="shared" si="10"/>
        <v>4</v>
      </c>
      <c r="B5" s="1">
        <v>45</v>
      </c>
      <c r="C5" s="1">
        <v>0.32</v>
      </c>
      <c r="G5" s="1">
        <f t="shared" si="11"/>
        <v>0.79</v>
      </c>
      <c r="H5" s="1">
        <f t="shared" si="12"/>
        <v>47</v>
      </c>
      <c r="I5" s="1">
        <f t="shared" si="0"/>
        <v>78</v>
      </c>
      <c r="J5" s="1" t="str">
        <f t="shared" si="1"/>
        <v>47-78</v>
      </c>
      <c r="K5" s="1">
        <v>61</v>
      </c>
      <c r="L5" s="1">
        <f t="shared" si="2"/>
        <v>45</v>
      </c>
      <c r="M5" s="1">
        <f t="shared" si="3"/>
        <v>40</v>
      </c>
      <c r="N5" s="1">
        <f t="shared" si="4"/>
        <v>0</v>
      </c>
      <c r="O5" s="1">
        <f t="shared" si="5"/>
        <v>40</v>
      </c>
      <c r="P5" s="1">
        <f t="shared" si="6"/>
        <v>80</v>
      </c>
      <c r="Q5" s="1">
        <f t="shared" si="7"/>
        <v>0</v>
      </c>
      <c r="R5" s="1">
        <f t="shared" si="8"/>
        <v>80</v>
      </c>
      <c r="S5" s="1">
        <f t="shared" si="9"/>
        <v>40</v>
      </c>
    </row>
    <row r="6" spans="1:19" x14ac:dyDescent="0.45">
      <c r="A6" s="3">
        <f t="shared" si="10"/>
        <v>5</v>
      </c>
      <c r="B6" s="1">
        <v>50</v>
      </c>
      <c r="C6" s="1">
        <v>0.18</v>
      </c>
      <c r="G6" s="1">
        <f t="shared" si="11"/>
        <v>0.97</v>
      </c>
      <c r="H6" s="1">
        <f t="shared" si="12"/>
        <v>79</v>
      </c>
      <c r="I6" s="1">
        <f t="shared" si="0"/>
        <v>96</v>
      </c>
      <c r="J6" s="1" t="str">
        <f t="shared" si="1"/>
        <v>79-96</v>
      </c>
      <c r="K6" s="1">
        <v>0</v>
      </c>
      <c r="L6" s="1">
        <f t="shared" si="2"/>
        <v>30</v>
      </c>
      <c r="M6" s="1">
        <f t="shared" si="3"/>
        <v>30</v>
      </c>
      <c r="N6" s="1">
        <f t="shared" si="4"/>
        <v>10</v>
      </c>
      <c r="O6" s="1">
        <f t="shared" si="5"/>
        <v>40</v>
      </c>
      <c r="P6" s="1">
        <f t="shared" si="6"/>
        <v>60</v>
      </c>
      <c r="Q6" s="1">
        <f t="shared" si="7"/>
        <v>10</v>
      </c>
      <c r="R6" s="1">
        <f t="shared" si="8"/>
        <v>70</v>
      </c>
      <c r="S6" s="1">
        <f t="shared" si="9"/>
        <v>30</v>
      </c>
    </row>
    <row r="7" spans="1:19" x14ac:dyDescent="0.45">
      <c r="A7" s="3">
        <f t="shared" si="10"/>
        <v>6</v>
      </c>
      <c r="B7" s="1">
        <v>55</v>
      </c>
      <c r="C7" s="1">
        <v>0.02</v>
      </c>
      <c r="G7" s="1">
        <f t="shared" si="11"/>
        <v>0.99</v>
      </c>
      <c r="H7" s="1">
        <f t="shared" si="12"/>
        <v>97</v>
      </c>
      <c r="I7" s="1">
        <f t="shared" si="0"/>
        <v>98</v>
      </c>
      <c r="J7" s="1" t="str">
        <f t="shared" si="1"/>
        <v>97-98</v>
      </c>
      <c r="K7" s="1">
        <v>2</v>
      </c>
      <c r="L7" s="1">
        <f t="shared" si="2"/>
        <v>30</v>
      </c>
      <c r="M7" s="1">
        <f t="shared" si="3"/>
        <v>30</v>
      </c>
      <c r="N7" s="1">
        <f t="shared" si="4"/>
        <v>10</v>
      </c>
      <c r="O7" s="1">
        <f t="shared" si="5"/>
        <v>40</v>
      </c>
      <c r="P7" s="1">
        <f t="shared" si="6"/>
        <v>60</v>
      </c>
      <c r="Q7" s="1">
        <f t="shared" si="7"/>
        <v>10</v>
      </c>
      <c r="R7" s="1">
        <f t="shared" si="8"/>
        <v>70</v>
      </c>
      <c r="S7" s="1">
        <f t="shared" si="9"/>
        <v>30</v>
      </c>
    </row>
    <row r="8" spans="1:19" x14ac:dyDescent="0.45">
      <c r="A8" s="3">
        <f t="shared" si="10"/>
        <v>7</v>
      </c>
      <c r="B8" s="1">
        <v>60</v>
      </c>
      <c r="C8" s="1">
        <v>0.01</v>
      </c>
      <c r="G8" s="1">
        <f t="shared" si="11"/>
        <v>1</v>
      </c>
      <c r="H8" s="1">
        <f t="shared" si="12"/>
        <v>99</v>
      </c>
      <c r="I8" s="1">
        <f t="shared" si="0"/>
        <v>99</v>
      </c>
      <c r="J8" s="1" t="str">
        <f t="shared" si="1"/>
        <v>99-99</v>
      </c>
      <c r="K8" s="1">
        <v>21</v>
      </c>
      <c r="L8" s="1">
        <f t="shared" si="2"/>
        <v>35</v>
      </c>
      <c r="M8" s="1">
        <f t="shared" si="3"/>
        <v>35</v>
      </c>
      <c r="N8" s="1">
        <f t="shared" si="4"/>
        <v>5</v>
      </c>
      <c r="O8" s="1">
        <f t="shared" si="5"/>
        <v>40</v>
      </c>
      <c r="P8" s="1">
        <f t="shared" si="6"/>
        <v>70</v>
      </c>
      <c r="Q8" s="1">
        <f t="shared" si="7"/>
        <v>5</v>
      </c>
      <c r="R8" s="1">
        <f t="shared" si="8"/>
        <v>75</v>
      </c>
      <c r="S8" s="1">
        <f t="shared" si="9"/>
        <v>35</v>
      </c>
    </row>
    <row r="9" spans="1:19" x14ac:dyDescent="0.45">
      <c r="A9" s="3">
        <f t="shared" si="10"/>
        <v>8</v>
      </c>
      <c r="K9" s="1">
        <v>87</v>
      </c>
      <c r="L9" s="1">
        <f t="shared" si="2"/>
        <v>50</v>
      </c>
      <c r="M9" s="1">
        <f t="shared" si="3"/>
        <v>40</v>
      </c>
      <c r="N9" s="1">
        <f t="shared" si="4"/>
        <v>0</v>
      </c>
      <c r="O9" s="1">
        <f t="shared" si="5"/>
        <v>40</v>
      </c>
      <c r="P9" s="1">
        <f t="shared" si="6"/>
        <v>80</v>
      </c>
      <c r="Q9" s="1">
        <f t="shared" si="7"/>
        <v>0</v>
      </c>
      <c r="R9" s="1">
        <f t="shared" si="8"/>
        <v>80</v>
      </c>
      <c r="S9" s="1">
        <f t="shared" si="9"/>
        <v>40</v>
      </c>
    </row>
    <row r="10" spans="1:19" x14ac:dyDescent="0.45">
      <c r="A10" s="3">
        <f t="shared" si="10"/>
        <v>9</v>
      </c>
      <c r="K10" s="1">
        <v>29</v>
      </c>
      <c r="L10" s="1">
        <f t="shared" si="2"/>
        <v>40</v>
      </c>
      <c r="M10" s="1">
        <f t="shared" si="3"/>
        <v>40</v>
      </c>
      <c r="N10" s="1">
        <f t="shared" si="4"/>
        <v>0</v>
      </c>
      <c r="O10" s="1">
        <f t="shared" si="5"/>
        <v>40</v>
      </c>
      <c r="P10" s="1">
        <f t="shared" si="6"/>
        <v>80</v>
      </c>
      <c r="Q10" s="1">
        <f t="shared" si="7"/>
        <v>0</v>
      </c>
      <c r="R10" s="1">
        <f t="shared" si="8"/>
        <v>80</v>
      </c>
      <c r="S10" s="1">
        <f t="shared" si="9"/>
        <v>40</v>
      </c>
    </row>
    <row r="11" spans="1:19" x14ac:dyDescent="0.45">
      <c r="A11" s="3">
        <f t="shared" si="10"/>
        <v>10</v>
      </c>
      <c r="K11" s="1">
        <v>97</v>
      </c>
      <c r="L11" s="1">
        <f t="shared" si="2"/>
        <v>55</v>
      </c>
      <c r="M11" s="1">
        <f t="shared" si="3"/>
        <v>40</v>
      </c>
      <c r="N11" s="1">
        <f t="shared" si="4"/>
        <v>0</v>
      </c>
      <c r="O11" s="1">
        <f t="shared" si="5"/>
        <v>40</v>
      </c>
      <c r="P11" s="1">
        <f t="shared" si="6"/>
        <v>80</v>
      </c>
      <c r="Q11" s="1">
        <f t="shared" si="7"/>
        <v>0</v>
      </c>
      <c r="R11" s="1">
        <f t="shared" si="8"/>
        <v>80</v>
      </c>
      <c r="S11" s="1">
        <f t="shared" si="9"/>
        <v>40</v>
      </c>
    </row>
    <row r="12" spans="1:19" x14ac:dyDescent="0.45">
      <c r="A12" s="3">
        <f t="shared" si="10"/>
        <v>11</v>
      </c>
      <c r="K12" s="1">
        <v>68</v>
      </c>
      <c r="L12" s="1">
        <f t="shared" si="2"/>
        <v>45</v>
      </c>
      <c r="M12" s="1">
        <f t="shared" si="3"/>
        <v>40</v>
      </c>
      <c r="N12" s="1">
        <f t="shared" si="4"/>
        <v>0</v>
      </c>
      <c r="O12" s="1">
        <f t="shared" si="5"/>
        <v>40</v>
      </c>
      <c r="P12" s="1">
        <f t="shared" si="6"/>
        <v>80</v>
      </c>
      <c r="Q12" s="1">
        <f t="shared" si="7"/>
        <v>0</v>
      </c>
      <c r="R12" s="1">
        <f t="shared" si="8"/>
        <v>80</v>
      </c>
      <c r="S12" s="1">
        <f t="shared" si="9"/>
        <v>40</v>
      </c>
    </row>
    <row r="13" spans="1:19" x14ac:dyDescent="0.45">
      <c r="A13" s="3">
        <f t="shared" si="10"/>
        <v>12</v>
      </c>
      <c r="K13" s="1">
        <v>98</v>
      </c>
      <c r="L13" s="1">
        <f t="shared" si="2"/>
        <v>55</v>
      </c>
      <c r="M13" s="1">
        <f t="shared" si="3"/>
        <v>40</v>
      </c>
      <c r="N13" s="1">
        <f t="shared" si="4"/>
        <v>0</v>
      </c>
      <c r="O13" s="1">
        <f t="shared" si="5"/>
        <v>40</v>
      </c>
      <c r="P13" s="1">
        <f t="shared" si="6"/>
        <v>80</v>
      </c>
      <c r="Q13" s="1">
        <f t="shared" si="7"/>
        <v>0</v>
      </c>
      <c r="R13" s="1">
        <f t="shared" si="8"/>
        <v>80</v>
      </c>
      <c r="S13" s="1">
        <f t="shared" si="9"/>
        <v>40</v>
      </c>
    </row>
    <row r="14" spans="1:19" x14ac:dyDescent="0.45">
      <c r="A14" s="3">
        <f t="shared" si="10"/>
        <v>13</v>
      </c>
      <c r="K14" s="1">
        <v>11</v>
      </c>
      <c r="L14" s="1">
        <f t="shared" si="2"/>
        <v>35</v>
      </c>
      <c r="M14" s="1">
        <f t="shared" si="3"/>
        <v>35</v>
      </c>
      <c r="N14" s="1">
        <f t="shared" si="4"/>
        <v>5</v>
      </c>
      <c r="O14" s="1">
        <f t="shared" si="5"/>
        <v>40</v>
      </c>
      <c r="P14" s="1">
        <f t="shared" si="6"/>
        <v>70</v>
      </c>
      <c r="Q14" s="1">
        <f t="shared" si="7"/>
        <v>5</v>
      </c>
      <c r="R14" s="1">
        <f t="shared" si="8"/>
        <v>75</v>
      </c>
      <c r="S14" s="1">
        <f t="shared" si="9"/>
        <v>35</v>
      </c>
    </row>
    <row r="15" spans="1:19" x14ac:dyDescent="0.45">
      <c r="A15" s="3">
        <f t="shared" si="10"/>
        <v>14</v>
      </c>
      <c r="K15" s="1">
        <v>33</v>
      </c>
      <c r="L15" s="1">
        <f t="shared" si="2"/>
        <v>40</v>
      </c>
      <c r="M15" s="1">
        <f t="shared" si="3"/>
        <v>40</v>
      </c>
      <c r="N15" s="1">
        <f t="shared" si="4"/>
        <v>0</v>
      </c>
      <c r="O15" s="1">
        <f t="shared" si="5"/>
        <v>40</v>
      </c>
      <c r="P15" s="1">
        <f t="shared" si="6"/>
        <v>80</v>
      </c>
      <c r="Q15" s="1">
        <f t="shared" si="7"/>
        <v>0</v>
      </c>
      <c r="R15" s="1">
        <f t="shared" si="8"/>
        <v>80</v>
      </c>
      <c r="S15" s="1">
        <f t="shared" si="9"/>
        <v>40</v>
      </c>
    </row>
    <row r="16" spans="1:19" x14ac:dyDescent="0.45">
      <c r="A16" s="3">
        <f t="shared" si="10"/>
        <v>15</v>
      </c>
      <c r="K16" s="1">
        <v>30</v>
      </c>
      <c r="L16" s="1">
        <f t="shared" si="2"/>
        <v>40</v>
      </c>
      <c r="M16" s="1">
        <f t="shared" si="3"/>
        <v>40</v>
      </c>
      <c r="N16" s="1">
        <f t="shared" si="4"/>
        <v>0</v>
      </c>
      <c r="O16" s="1">
        <f t="shared" si="5"/>
        <v>40</v>
      </c>
      <c r="P16" s="1">
        <f t="shared" si="6"/>
        <v>80</v>
      </c>
      <c r="Q16" s="1">
        <f t="shared" si="7"/>
        <v>0</v>
      </c>
      <c r="R16" s="1">
        <f t="shared" si="8"/>
        <v>80</v>
      </c>
      <c r="S16" s="1">
        <f t="shared" si="9"/>
        <v>40</v>
      </c>
    </row>
    <row r="17" spans="1:19" x14ac:dyDescent="0.45">
      <c r="A17" s="3">
        <f t="shared" si="10"/>
        <v>16</v>
      </c>
      <c r="K17" s="1">
        <v>33</v>
      </c>
      <c r="L17" s="1">
        <f t="shared" si="2"/>
        <v>40</v>
      </c>
      <c r="M17" s="1">
        <f t="shared" si="3"/>
        <v>40</v>
      </c>
      <c r="N17" s="1">
        <f t="shared" si="4"/>
        <v>0</v>
      </c>
      <c r="O17" s="1">
        <f t="shared" si="5"/>
        <v>40</v>
      </c>
      <c r="P17" s="1">
        <f t="shared" si="6"/>
        <v>80</v>
      </c>
      <c r="Q17" s="1">
        <f t="shared" si="7"/>
        <v>0</v>
      </c>
      <c r="R17" s="1">
        <f t="shared" si="8"/>
        <v>80</v>
      </c>
      <c r="S17" s="1">
        <f t="shared" si="9"/>
        <v>40</v>
      </c>
    </row>
    <row r="18" spans="1:19" x14ac:dyDescent="0.45">
      <c r="A18" s="3">
        <f t="shared" si="10"/>
        <v>17</v>
      </c>
      <c r="K18" s="1">
        <v>47</v>
      </c>
      <c r="L18" s="1">
        <f t="shared" si="2"/>
        <v>45</v>
      </c>
      <c r="M18" s="1">
        <f t="shared" si="3"/>
        <v>40</v>
      </c>
      <c r="N18" s="1">
        <f t="shared" si="4"/>
        <v>0</v>
      </c>
      <c r="O18" s="1">
        <f t="shared" si="5"/>
        <v>40</v>
      </c>
      <c r="P18" s="1">
        <f t="shared" si="6"/>
        <v>80</v>
      </c>
      <c r="Q18" s="1">
        <f t="shared" si="7"/>
        <v>0</v>
      </c>
      <c r="R18" s="1">
        <f t="shared" si="8"/>
        <v>80</v>
      </c>
      <c r="S18" s="1">
        <f t="shared" si="9"/>
        <v>40</v>
      </c>
    </row>
    <row r="19" spans="1:19" x14ac:dyDescent="0.45">
      <c r="A19" s="3">
        <f t="shared" si="10"/>
        <v>18</v>
      </c>
      <c r="K19" s="1">
        <v>77</v>
      </c>
      <c r="L19" s="1">
        <f t="shared" si="2"/>
        <v>45</v>
      </c>
      <c r="M19" s="1">
        <f t="shared" si="3"/>
        <v>40</v>
      </c>
      <c r="N19" s="1">
        <f t="shared" si="4"/>
        <v>0</v>
      </c>
      <c r="O19" s="1">
        <f t="shared" si="5"/>
        <v>40</v>
      </c>
      <c r="P19" s="1">
        <f t="shared" si="6"/>
        <v>80</v>
      </c>
      <c r="Q19" s="1">
        <f t="shared" si="7"/>
        <v>0</v>
      </c>
      <c r="R19" s="1">
        <f t="shared" si="8"/>
        <v>80</v>
      </c>
      <c r="S19" s="1">
        <f t="shared" si="9"/>
        <v>40</v>
      </c>
    </row>
    <row r="20" spans="1:19" x14ac:dyDescent="0.45">
      <c r="A20" s="3">
        <f t="shared" si="10"/>
        <v>19</v>
      </c>
      <c r="K20" s="1">
        <v>91</v>
      </c>
      <c r="L20" s="1">
        <f t="shared" si="2"/>
        <v>50</v>
      </c>
      <c r="M20" s="1">
        <f t="shared" si="3"/>
        <v>40</v>
      </c>
      <c r="N20" s="1">
        <f t="shared" si="4"/>
        <v>0</v>
      </c>
      <c r="O20" s="1">
        <f t="shared" si="5"/>
        <v>40</v>
      </c>
      <c r="P20" s="1">
        <f t="shared" si="6"/>
        <v>80</v>
      </c>
      <c r="Q20" s="1">
        <f t="shared" si="7"/>
        <v>0</v>
      </c>
      <c r="R20" s="1">
        <f t="shared" si="8"/>
        <v>80</v>
      </c>
      <c r="S20" s="1">
        <f t="shared" si="9"/>
        <v>40</v>
      </c>
    </row>
    <row r="21" spans="1:19" x14ac:dyDescent="0.45">
      <c r="A21" s="3">
        <f t="shared" si="10"/>
        <v>20</v>
      </c>
      <c r="K21" s="1">
        <v>49</v>
      </c>
      <c r="L21" s="1">
        <f t="shared" si="2"/>
        <v>45</v>
      </c>
      <c r="M21" s="1">
        <f t="shared" si="3"/>
        <v>40</v>
      </c>
      <c r="N21" s="1">
        <f t="shared" si="4"/>
        <v>0</v>
      </c>
      <c r="O21" s="1">
        <f t="shared" si="5"/>
        <v>40</v>
      </c>
      <c r="P21" s="1">
        <f t="shared" si="6"/>
        <v>80</v>
      </c>
      <c r="Q21" s="1">
        <f t="shared" si="7"/>
        <v>0</v>
      </c>
      <c r="R21" s="1">
        <f t="shared" si="8"/>
        <v>80</v>
      </c>
      <c r="S21" s="1">
        <f t="shared" si="9"/>
        <v>40</v>
      </c>
    </row>
    <row r="22" spans="1:19" x14ac:dyDescent="0.45">
      <c r="A22" s="3">
        <f t="shared" si="10"/>
        <v>21</v>
      </c>
      <c r="K22" s="1">
        <v>12</v>
      </c>
      <c r="L22" s="1">
        <f t="shared" si="2"/>
        <v>35</v>
      </c>
      <c r="M22" s="1">
        <f t="shared" si="3"/>
        <v>35</v>
      </c>
      <c r="N22" s="1">
        <f t="shared" si="4"/>
        <v>5</v>
      </c>
      <c r="O22" s="1">
        <f t="shared" si="5"/>
        <v>40</v>
      </c>
      <c r="P22" s="1">
        <f t="shared" si="6"/>
        <v>70</v>
      </c>
      <c r="Q22" s="1">
        <f t="shared" si="7"/>
        <v>5</v>
      </c>
      <c r="R22" s="1">
        <f t="shared" si="8"/>
        <v>75</v>
      </c>
      <c r="S22" s="1">
        <f t="shared" si="9"/>
        <v>35</v>
      </c>
    </row>
    <row r="23" spans="1:19" x14ac:dyDescent="0.45">
      <c r="A23" s="3">
        <f t="shared" si="10"/>
        <v>22</v>
      </c>
      <c r="K23" s="1">
        <v>69</v>
      </c>
      <c r="L23" s="1">
        <f t="shared" si="2"/>
        <v>45</v>
      </c>
      <c r="M23" s="1">
        <f t="shared" si="3"/>
        <v>40</v>
      </c>
      <c r="N23" s="1">
        <f t="shared" si="4"/>
        <v>0</v>
      </c>
      <c r="O23" s="1">
        <f t="shared" si="5"/>
        <v>40</v>
      </c>
      <c r="P23" s="1">
        <f t="shared" si="6"/>
        <v>80</v>
      </c>
      <c r="Q23" s="1">
        <f t="shared" si="7"/>
        <v>0</v>
      </c>
      <c r="R23" s="1">
        <f t="shared" si="8"/>
        <v>80</v>
      </c>
      <c r="S23" s="1">
        <f t="shared" si="9"/>
        <v>40</v>
      </c>
    </row>
    <row r="24" spans="1:19" x14ac:dyDescent="0.45">
      <c r="A24" s="3">
        <f t="shared" si="10"/>
        <v>23</v>
      </c>
      <c r="K24" s="1">
        <v>98</v>
      </c>
      <c r="L24" s="1">
        <f t="shared" si="2"/>
        <v>55</v>
      </c>
      <c r="M24" s="1">
        <f t="shared" si="3"/>
        <v>40</v>
      </c>
      <c r="N24" s="1">
        <f t="shared" si="4"/>
        <v>0</v>
      </c>
      <c r="O24" s="1">
        <f t="shared" si="5"/>
        <v>40</v>
      </c>
      <c r="P24" s="1">
        <f t="shared" si="6"/>
        <v>80</v>
      </c>
      <c r="Q24" s="1">
        <f t="shared" si="7"/>
        <v>0</v>
      </c>
      <c r="R24" s="1">
        <f t="shared" si="8"/>
        <v>80</v>
      </c>
      <c r="S24" s="1">
        <f t="shared" si="9"/>
        <v>40</v>
      </c>
    </row>
    <row r="25" spans="1:19" x14ac:dyDescent="0.45">
      <c r="A25" s="3">
        <f t="shared" si="10"/>
        <v>24</v>
      </c>
      <c r="K25" s="1">
        <v>52</v>
      </c>
      <c r="L25" s="1">
        <f t="shared" si="2"/>
        <v>45</v>
      </c>
      <c r="M25" s="1">
        <f t="shared" si="3"/>
        <v>40</v>
      </c>
      <c r="N25" s="1">
        <f t="shared" si="4"/>
        <v>0</v>
      </c>
      <c r="O25" s="1">
        <f t="shared" si="5"/>
        <v>40</v>
      </c>
      <c r="P25" s="1">
        <f t="shared" si="6"/>
        <v>80</v>
      </c>
      <c r="Q25" s="1">
        <f t="shared" si="7"/>
        <v>0</v>
      </c>
      <c r="R25" s="1">
        <f t="shared" si="8"/>
        <v>80</v>
      </c>
      <c r="S25" s="1">
        <f t="shared" si="9"/>
        <v>40</v>
      </c>
    </row>
    <row r="26" spans="1:19" x14ac:dyDescent="0.45">
      <c r="E26" s="11"/>
      <c r="F26" s="12" t="s">
        <v>21</v>
      </c>
      <c r="G26" s="12" t="s">
        <v>11</v>
      </c>
    </row>
    <row r="27" spans="1:19" x14ac:dyDescent="0.45">
      <c r="E27" s="13" t="s">
        <v>24</v>
      </c>
      <c r="F27" s="33">
        <f>AVERAGE(R1:R24)</f>
        <v>78.043478260869563</v>
      </c>
      <c r="G27" s="33">
        <f>AVERAGE(S1:S24)</f>
        <v>38.043478260869563</v>
      </c>
    </row>
    <row r="28" spans="1:19" x14ac:dyDescent="0.45">
      <c r="E28" s="13" t="s">
        <v>25</v>
      </c>
      <c r="F28" s="11">
        <f>MAX(R2:R25)</f>
        <v>80</v>
      </c>
      <c r="G28" s="11">
        <f>MAX(S2:S25)</f>
        <v>40</v>
      </c>
    </row>
    <row r="29" spans="1:19" x14ac:dyDescent="0.45">
      <c r="E29" s="13" t="s">
        <v>26</v>
      </c>
      <c r="F29" s="11">
        <f>MIN(R2:R25)</f>
        <v>70</v>
      </c>
      <c r="G29" s="11">
        <f>MIN(S2:S25)</f>
        <v>30</v>
      </c>
    </row>
  </sheetData>
  <conditionalFormatting sqref="N2:N26">
    <cfRule type="cellIs" dxfId="15" priority="1" operator="greaterThanOrEqual">
      <formula>5</formula>
    </cfRule>
    <cfRule type="cellIs" dxfId="14" priority="5" operator="lessThan">
      <formula>5</formula>
    </cfRule>
  </conditionalFormatting>
  <conditionalFormatting sqref="O26">
    <cfRule type="cellIs" dxfId="13" priority="6" operator="greaterThanOrEqual">
      <formula>40</formula>
    </cfRule>
  </conditionalFormatting>
  <conditionalFormatting sqref="R2:R25 F26:G2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0D94-0233-4D9C-B4A1-8D050BFA92A2}">
  <dimension ref="A1:T31"/>
  <sheetViews>
    <sheetView topLeftCell="M1" workbookViewId="0">
      <selection activeCell="S3" sqref="S3"/>
    </sheetView>
  </sheetViews>
  <sheetFormatPr defaultRowHeight="14.25" x14ac:dyDescent="0.45"/>
  <cols>
    <col min="1" max="1" width="9" style="3"/>
    <col min="2" max="2" width="4.59765625" bestFit="1" customWidth="1"/>
    <col min="3" max="3" width="11.3984375" style="1" bestFit="1" customWidth="1"/>
    <col min="4" max="4" width="21.1328125" style="1" bestFit="1" customWidth="1"/>
    <col min="5" max="6" width="9.6640625" style="1" bestFit="1" customWidth="1"/>
    <col min="7" max="7" width="9" style="1"/>
    <col min="8" max="8" width="14" style="1" bestFit="1" customWidth="1"/>
    <col min="9" max="9" width="15.86328125" style="1" bestFit="1" customWidth="1"/>
    <col min="11" max="11" width="9" style="1"/>
    <col min="12" max="12" width="11.3984375" style="1" bestFit="1" customWidth="1"/>
    <col min="13" max="13" width="23.6640625" style="1" bestFit="1" customWidth="1"/>
    <col min="14" max="14" width="9.6640625" style="1" bestFit="1" customWidth="1"/>
    <col min="15" max="16" width="9" style="1"/>
    <col min="17" max="17" width="14.796875" style="1" bestFit="1" customWidth="1"/>
    <col min="18" max="18" width="21.1328125" style="1" bestFit="1" customWidth="1"/>
    <col min="19" max="19" width="12.3984375" style="1" bestFit="1" customWidth="1"/>
  </cols>
  <sheetData>
    <row r="1" spans="1:20" s="2" customFormat="1" x14ac:dyDescent="0.45">
      <c r="A1" s="9" t="s">
        <v>13</v>
      </c>
      <c r="B1" s="5" t="s">
        <v>16</v>
      </c>
      <c r="C1" s="6" t="s">
        <v>15</v>
      </c>
      <c r="D1" s="6" t="s">
        <v>1</v>
      </c>
      <c r="E1" s="6" t="s">
        <v>3</v>
      </c>
      <c r="F1" s="6" t="s">
        <v>14</v>
      </c>
      <c r="G1" s="6" t="s">
        <v>2</v>
      </c>
      <c r="H1" s="6" t="s">
        <v>8</v>
      </c>
      <c r="I1" s="6" t="s">
        <v>27</v>
      </c>
      <c r="K1" s="7" t="s">
        <v>16</v>
      </c>
      <c r="L1" s="7" t="s">
        <v>15</v>
      </c>
      <c r="M1" s="7" t="s">
        <v>1</v>
      </c>
      <c r="N1" s="7" t="s">
        <v>3</v>
      </c>
      <c r="O1" s="7" t="s">
        <v>14</v>
      </c>
      <c r="P1" s="7" t="s">
        <v>2</v>
      </c>
      <c r="Q1" s="7" t="s">
        <v>8</v>
      </c>
      <c r="R1" s="7" t="s">
        <v>17</v>
      </c>
      <c r="S1" s="7" t="s">
        <v>18</v>
      </c>
      <c r="T1" s="8"/>
    </row>
    <row r="2" spans="1:20" x14ac:dyDescent="0.45">
      <c r="A2" s="3">
        <v>0</v>
      </c>
      <c r="B2">
        <v>0</v>
      </c>
      <c r="C2" s="1">
        <v>0.03</v>
      </c>
      <c r="D2" s="1">
        <v>0.03</v>
      </c>
      <c r="E2" s="1">
        <f>D2-C2</f>
        <v>0</v>
      </c>
      <c r="F2" s="1">
        <f>INT(D2*100)-1</f>
        <v>2</v>
      </c>
      <c r="G2" s="1" t="str">
        <f>E2&amp;"-"&amp;F2</f>
        <v>0-2</v>
      </c>
      <c r="H2" s="1">
        <v>30</v>
      </c>
      <c r="I2" s="1">
        <f>_xlfn.XLOOKUP(H2,F$2:F$10,B$2:B$10,,1)</f>
        <v>3</v>
      </c>
      <c r="K2" s="1">
        <v>0</v>
      </c>
      <c r="L2" s="1">
        <v>0.1</v>
      </c>
      <c r="M2" s="1">
        <v>0.1</v>
      </c>
      <c r="N2" s="1">
        <f>M2-L2</f>
        <v>0</v>
      </c>
      <c r="O2" s="1">
        <f t="shared" ref="O2:O7" si="0">INT(M2*100)-1</f>
        <v>9</v>
      </c>
      <c r="P2" s="1" t="str">
        <f>N2&amp;"-"&amp;O2</f>
        <v>0-9</v>
      </c>
      <c r="Q2" s="1">
        <v>85</v>
      </c>
      <c r="R2" s="1">
        <f>_xlfn.XLOOKUP(Q2,N$2:N$7,K$2:K$7,,-1)</f>
        <v>4</v>
      </c>
      <c r="S2" s="1">
        <f>MAX(I2-R2,0)</f>
        <v>0</v>
      </c>
    </row>
    <row r="3" spans="1:20" x14ac:dyDescent="0.45">
      <c r="A3" s="3">
        <f>A2+1</f>
        <v>1</v>
      </c>
      <c r="B3">
        <f>B2+1</f>
        <v>1</v>
      </c>
      <c r="C3" s="1">
        <v>0.08</v>
      </c>
      <c r="D3" s="1">
        <f>D2+C3</f>
        <v>0.11</v>
      </c>
      <c r="E3" s="1">
        <f>F2+1</f>
        <v>3</v>
      </c>
      <c r="F3" s="1">
        <f t="shared" ref="F3:F10" si="1">INT(D3*100)-1</f>
        <v>10</v>
      </c>
      <c r="G3" s="1" t="str">
        <f t="shared" ref="G3:G10" si="2">E3&amp;"-"&amp;F3</f>
        <v>3-10</v>
      </c>
      <c r="H3" s="1">
        <v>83</v>
      </c>
      <c r="I3" s="1">
        <f t="shared" ref="I3:I30" si="3">_xlfn.XLOOKUP(H3,F$2:F$10,B$2:B$10,,1)</f>
        <v>6</v>
      </c>
      <c r="K3" s="1">
        <f>K2+1</f>
        <v>1</v>
      </c>
      <c r="L3" s="1">
        <v>0.15</v>
      </c>
      <c r="M3" s="1">
        <f>M2+L3</f>
        <v>0.25</v>
      </c>
      <c r="N3" s="1">
        <f>O2+1</f>
        <v>10</v>
      </c>
      <c r="O3" s="1">
        <f t="shared" si="0"/>
        <v>24</v>
      </c>
      <c r="P3" s="1" t="str">
        <f t="shared" ref="P3:P7" si="4">N3&amp;"-"&amp;O3</f>
        <v>10-24</v>
      </c>
      <c r="Q3" s="1">
        <v>3</v>
      </c>
      <c r="R3" s="1">
        <f t="shared" ref="R3:R30" si="5">_xlfn.XLOOKUP(Q3,N$2:N$7,K$2:K$7,,-1)</f>
        <v>0</v>
      </c>
      <c r="S3" s="1">
        <f t="shared" ref="S3:S30" si="6">MAX((S2+I3)-R3,0)</f>
        <v>6</v>
      </c>
    </row>
    <row r="4" spans="1:20" x14ac:dyDescent="0.45">
      <c r="A4" s="3">
        <f t="shared" ref="A4:A30" si="7">A3+1</f>
        <v>2</v>
      </c>
      <c r="B4">
        <f t="shared" ref="B4:B9" si="8">B3+1</f>
        <v>2</v>
      </c>
      <c r="C4" s="1">
        <v>0.12</v>
      </c>
      <c r="D4" s="1">
        <f t="shared" ref="D4:D10" si="9">D3+C4</f>
        <v>0.22999999999999998</v>
      </c>
      <c r="E4" s="1">
        <f t="shared" ref="E4:E10" si="10">F3+1</f>
        <v>11</v>
      </c>
      <c r="F4" s="1">
        <f t="shared" si="1"/>
        <v>22</v>
      </c>
      <c r="G4" s="1" t="str">
        <f t="shared" si="2"/>
        <v>11-22</v>
      </c>
      <c r="H4" s="1">
        <v>63</v>
      </c>
      <c r="I4" s="1">
        <f t="shared" si="3"/>
        <v>5</v>
      </c>
      <c r="K4" s="1">
        <f t="shared" ref="K4:K7" si="11">K3+1</f>
        <v>2</v>
      </c>
      <c r="L4" s="1">
        <v>0.28000000000000003</v>
      </c>
      <c r="M4" s="1">
        <f t="shared" ref="M4:M7" si="12">M3+L4</f>
        <v>0.53</v>
      </c>
      <c r="N4" s="1">
        <f t="shared" ref="N4:N7" si="13">O3+1</f>
        <v>25</v>
      </c>
      <c r="O4" s="1">
        <f t="shared" si="0"/>
        <v>52</v>
      </c>
      <c r="P4" s="1" t="str">
        <f t="shared" si="4"/>
        <v>25-52</v>
      </c>
      <c r="Q4" s="1">
        <v>70</v>
      </c>
      <c r="R4" s="1">
        <f t="shared" si="5"/>
        <v>3</v>
      </c>
      <c r="S4" s="1">
        <f t="shared" si="6"/>
        <v>8</v>
      </c>
    </row>
    <row r="5" spans="1:20" x14ac:dyDescent="0.45">
      <c r="A5" s="3">
        <f t="shared" si="7"/>
        <v>3</v>
      </c>
      <c r="B5">
        <f t="shared" si="8"/>
        <v>3</v>
      </c>
      <c r="C5" s="1">
        <v>0.17</v>
      </c>
      <c r="D5" s="1">
        <f t="shared" si="9"/>
        <v>0.4</v>
      </c>
      <c r="E5" s="1">
        <f t="shared" si="10"/>
        <v>23</v>
      </c>
      <c r="F5" s="1">
        <f t="shared" si="1"/>
        <v>39</v>
      </c>
      <c r="G5" s="1" t="str">
        <f t="shared" si="2"/>
        <v>23-39</v>
      </c>
      <c r="H5" s="1">
        <v>27</v>
      </c>
      <c r="I5" s="1">
        <f t="shared" si="3"/>
        <v>3</v>
      </c>
      <c r="K5" s="1">
        <f t="shared" si="11"/>
        <v>3</v>
      </c>
      <c r="L5" s="1">
        <v>0.22</v>
      </c>
      <c r="M5" s="1">
        <f t="shared" si="12"/>
        <v>0.75</v>
      </c>
      <c r="N5" s="1">
        <f t="shared" si="13"/>
        <v>53</v>
      </c>
      <c r="O5" s="1">
        <f t="shared" si="0"/>
        <v>74</v>
      </c>
      <c r="P5" s="1" t="str">
        <f t="shared" si="4"/>
        <v>53-74</v>
      </c>
      <c r="Q5" s="1">
        <v>67</v>
      </c>
      <c r="R5" s="1">
        <f t="shared" si="5"/>
        <v>3</v>
      </c>
      <c r="S5" s="1">
        <f t="shared" si="6"/>
        <v>8</v>
      </c>
    </row>
    <row r="6" spans="1:20" x14ac:dyDescent="0.45">
      <c r="A6" s="3">
        <f t="shared" si="7"/>
        <v>4</v>
      </c>
      <c r="B6">
        <f t="shared" si="8"/>
        <v>4</v>
      </c>
      <c r="C6" s="1">
        <v>0.21</v>
      </c>
      <c r="D6" s="1">
        <f t="shared" si="9"/>
        <v>0.61</v>
      </c>
      <c r="E6" s="1">
        <f t="shared" si="10"/>
        <v>40</v>
      </c>
      <c r="F6" s="1">
        <f t="shared" si="1"/>
        <v>60</v>
      </c>
      <c r="G6" s="1" t="str">
        <f t="shared" si="2"/>
        <v>40-60</v>
      </c>
      <c r="H6" s="1">
        <v>44</v>
      </c>
      <c r="I6" s="1">
        <f t="shared" si="3"/>
        <v>4</v>
      </c>
      <c r="K6" s="1">
        <f t="shared" si="11"/>
        <v>4</v>
      </c>
      <c r="L6" s="1">
        <v>0.18</v>
      </c>
      <c r="M6" s="1">
        <f t="shared" si="12"/>
        <v>0.92999999999999994</v>
      </c>
      <c r="N6" s="1">
        <f t="shared" si="13"/>
        <v>75</v>
      </c>
      <c r="O6" s="1">
        <f t="shared" si="0"/>
        <v>92</v>
      </c>
      <c r="P6" s="1" t="str">
        <f t="shared" si="4"/>
        <v>75-92</v>
      </c>
      <c r="Q6" s="1">
        <v>77</v>
      </c>
      <c r="R6" s="1">
        <f t="shared" si="5"/>
        <v>4</v>
      </c>
      <c r="S6" s="1">
        <f t="shared" si="6"/>
        <v>8</v>
      </c>
    </row>
    <row r="7" spans="1:20" x14ac:dyDescent="0.45">
      <c r="A7" s="3">
        <f t="shared" si="7"/>
        <v>5</v>
      </c>
      <c r="B7">
        <f t="shared" si="8"/>
        <v>5</v>
      </c>
      <c r="C7" s="1">
        <v>0.16</v>
      </c>
      <c r="D7" s="1">
        <f t="shared" si="9"/>
        <v>0.77</v>
      </c>
      <c r="E7" s="1">
        <f t="shared" si="10"/>
        <v>61</v>
      </c>
      <c r="F7" s="1">
        <f t="shared" si="1"/>
        <v>76</v>
      </c>
      <c r="G7" s="1" t="str">
        <f t="shared" si="2"/>
        <v>61-76</v>
      </c>
      <c r="H7" s="1">
        <v>63</v>
      </c>
      <c r="I7" s="1">
        <f t="shared" si="3"/>
        <v>5</v>
      </c>
      <c r="K7" s="1">
        <f t="shared" si="11"/>
        <v>5</v>
      </c>
      <c r="L7" s="1">
        <v>7.0000000000000007E-2</v>
      </c>
      <c r="M7" s="1">
        <f t="shared" si="12"/>
        <v>1</v>
      </c>
      <c r="N7" s="1">
        <f t="shared" si="13"/>
        <v>93</v>
      </c>
      <c r="O7" s="1">
        <f t="shared" si="0"/>
        <v>99</v>
      </c>
      <c r="P7" s="1" t="str">
        <f t="shared" si="4"/>
        <v>93-99</v>
      </c>
      <c r="Q7" s="1">
        <v>54</v>
      </c>
      <c r="R7" s="1">
        <f t="shared" si="5"/>
        <v>3</v>
      </c>
      <c r="S7" s="1">
        <f t="shared" si="6"/>
        <v>10</v>
      </c>
    </row>
    <row r="8" spans="1:20" x14ac:dyDescent="0.45">
      <c r="A8" s="3">
        <f t="shared" si="7"/>
        <v>6</v>
      </c>
      <c r="B8">
        <f t="shared" si="8"/>
        <v>6</v>
      </c>
      <c r="C8" s="1">
        <v>0.13</v>
      </c>
      <c r="D8" s="1">
        <f t="shared" si="9"/>
        <v>0.9</v>
      </c>
      <c r="E8" s="1">
        <f t="shared" si="10"/>
        <v>77</v>
      </c>
      <c r="F8" s="1">
        <f t="shared" si="1"/>
        <v>89</v>
      </c>
      <c r="G8" s="1" t="str">
        <f t="shared" si="2"/>
        <v>77-89</v>
      </c>
      <c r="H8" s="1">
        <v>24</v>
      </c>
      <c r="I8" s="1">
        <f t="shared" si="3"/>
        <v>3</v>
      </c>
      <c r="Q8" s="1">
        <v>20</v>
      </c>
      <c r="R8" s="1">
        <f t="shared" si="5"/>
        <v>1</v>
      </c>
      <c r="S8" s="1">
        <f t="shared" si="6"/>
        <v>12</v>
      </c>
    </row>
    <row r="9" spans="1:20" x14ac:dyDescent="0.45">
      <c r="A9" s="3">
        <f t="shared" si="7"/>
        <v>7</v>
      </c>
      <c r="B9">
        <f t="shared" si="8"/>
        <v>7</v>
      </c>
      <c r="C9" s="1">
        <v>0.08</v>
      </c>
      <c r="D9" s="1">
        <f t="shared" si="9"/>
        <v>0.98</v>
      </c>
      <c r="E9" s="1">
        <f t="shared" si="10"/>
        <v>90</v>
      </c>
      <c r="F9" s="1">
        <f t="shared" si="1"/>
        <v>97</v>
      </c>
      <c r="G9" s="1" t="str">
        <f t="shared" si="2"/>
        <v>90-97</v>
      </c>
      <c r="H9" s="1">
        <v>29</v>
      </c>
      <c r="I9" s="1">
        <f t="shared" si="3"/>
        <v>3</v>
      </c>
      <c r="Q9" s="1">
        <v>38</v>
      </c>
      <c r="R9" s="1">
        <f t="shared" si="5"/>
        <v>2</v>
      </c>
      <c r="S9" s="1">
        <f t="shared" si="6"/>
        <v>13</v>
      </c>
    </row>
    <row r="10" spans="1:20" x14ac:dyDescent="0.45">
      <c r="A10" s="3">
        <f t="shared" si="7"/>
        <v>8</v>
      </c>
      <c r="B10">
        <f>B9+1</f>
        <v>8</v>
      </c>
      <c r="C10" s="1">
        <v>0.02</v>
      </c>
      <c r="D10" s="1">
        <f t="shared" si="9"/>
        <v>1</v>
      </c>
      <c r="E10" s="1">
        <f t="shared" si="10"/>
        <v>98</v>
      </c>
      <c r="F10" s="1">
        <f t="shared" si="1"/>
        <v>99</v>
      </c>
      <c r="G10" s="1" t="str">
        <f t="shared" si="2"/>
        <v>98-99</v>
      </c>
      <c r="H10" s="1">
        <v>49</v>
      </c>
      <c r="I10" s="1">
        <f t="shared" si="3"/>
        <v>4</v>
      </c>
      <c r="Q10" s="1">
        <v>7</v>
      </c>
      <c r="R10" s="1">
        <f t="shared" si="5"/>
        <v>0</v>
      </c>
      <c r="S10" s="1">
        <f t="shared" si="6"/>
        <v>17</v>
      </c>
    </row>
    <row r="11" spans="1:20" x14ac:dyDescent="0.45">
      <c r="A11" s="3">
        <f t="shared" si="7"/>
        <v>9</v>
      </c>
      <c r="H11" s="1">
        <v>38</v>
      </c>
      <c r="I11" s="1">
        <f t="shared" si="3"/>
        <v>3</v>
      </c>
      <c r="Q11" s="1">
        <v>65</v>
      </c>
      <c r="R11" s="1">
        <f t="shared" si="5"/>
        <v>3</v>
      </c>
      <c r="S11" s="1">
        <f t="shared" si="6"/>
        <v>17</v>
      </c>
    </row>
    <row r="12" spans="1:20" x14ac:dyDescent="0.45">
      <c r="A12" s="3">
        <f t="shared" si="7"/>
        <v>10</v>
      </c>
      <c r="H12" s="1">
        <v>60</v>
      </c>
      <c r="I12" s="1">
        <f t="shared" si="3"/>
        <v>4</v>
      </c>
      <c r="Q12" s="1">
        <v>52</v>
      </c>
      <c r="R12" s="1">
        <f t="shared" si="5"/>
        <v>2</v>
      </c>
      <c r="S12" s="1">
        <f t="shared" si="6"/>
        <v>19</v>
      </c>
    </row>
    <row r="13" spans="1:20" x14ac:dyDescent="0.45">
      <c r="A13" s="3">
        <f t="shared" si="7"/>
        <v>11</v>
      </c>
      <c r="H13" s="1">
        <v>47</v>
      </c>
      <c r="I13" s="1">
        <f t="shared" si="3"/>
        <v>4</v>
      </c>
      <c r="Q13" s="1">
        <v>6</v>
      </c>
      <c r="R13" s="1">
        <f t="shared" si="5"/>
        <v>0</v>
      </c>
      <c r="S13" s="1">
        <f t="shared" si="6"/>
        <v>23</v>
      </c>
    </row>
    <row r="14" spans="1:20" x14ac:dyDescent="0.45">
      <c r="A14" s="3">
        <f t="shared" si="7"/>
        <v>12</v>
      </c>
      <c r="H14" s="1">
        <v>40</v>
      </c>
      <c r="I14" s="1">
        <f t="shared" si="3"/>
        <v>4</v>
      </c>
      <c r="Q14" s="1">
        <v>67</v>
      </c>
      <c r="R14" s="1">
        <f t="shared" si="5"/>
        <v>3</v>
      </c>
      <c r="S14" s="1">
        <f t="shared" si="6"/>
        <v>24</v>
      </c>
    </row>
    <row r="15" spans="1:20" x14ac:dyDescent="0.45">
      <c r="A15" s="3">
        <f t="shared" si="7"/>
        <v>13</v>
      </c>
      <c r="H15" s="1">
        <v>71</v>
      </c>
      <c r="I15" s="1">
        <f t="shared" si="3"/>
        <v>5</v>
      </c>
      <c r="Q15" s="1">
        <v>35</v>
      </c>
      <c r="R15" s="1">
        <f t="shared" si="5"/>
        <v>2</v>
      </c>
      <c r="S15" s="1">
        <f t="shared" si="6"/>
        <v>27</v>
      </c>
    </row>
    <row r="16" spans="1:20" x14ac:dyDescent="0.45">
      <c r="A16" s="3">
        <f t="shared" si="7"/>
        <v>14</v>
      </c>
      <c r="H16" s="1">
        <v>29</v>
      </c>
      <c r="I16" s="1">
        <f t="shared" si="3"/>
        <v>3</v>
      </c>
      <c r="Q16" s="1">
        <v>15</v>
      </c>
      <c r="R16" s="1">
        <f t="shared" si="5"/>
        <v>1</v>
      </c>
      <c r="S16" s="1">
        <f t="shared" si="6"/>
        <v>29</v>
      </c>
    </row>
    <row r="17" spans="1:19" x14ac:dyDescent="0.45">
      <c r="A17" s="3">
        <f t="shared" si="7"/>
        <v>15</v>
      </c>
      <c r="H17" s="1">
        <v>21</v>
      </c>
      <c r="I17" s="1">
        <f t="shared" si="3"/>
        <v>2</v>
      </c>
      <c r="Q17" s="1">
        <v>8</v>
      </c>
      <c r="R17" s="1">
        <f t="shared" si="5"/>
        <v>0</v>
      </c>
      <c r="S17" s="1">
        <f t="shared" si="6"/>
        <v>31</v>
      </c>
    </row>
    <row r="18" spans="1:19" x14ac:dyDescent="0.45">
      <c r="A18" s="3">
        <f t="shared" si="7"/>
        <v>16</v>
      </c>
      <c r="H18" s="1">
        <v>53</v>
      </c>
      <c r="I18" s="1">
        <f t="shared" si="3"/>
        <v>4</v>
      </c>
      <c r="Q18" s="1">
        <v>37</v>
      </c>
      <c r="R18" s="1">
        <f t="shared" si="5"/>
        <v>2</v>
      </c>
      <c r="S18" s="1">
        <f t="shared" si="6"/>
        <v>33</v>
      </c>
    </row>
    <row r="19" spans="1:19" x14ac:dyDescent="0.45">
      <c r="A19" s="3">
        <f t="shared" si="7"/>
        <v>17</v>
      </c>
      <c r="H19" s="1">
        <v>39</v>
      </c>
      <c r="I19" s="1">
        <f t="shared" si="3"/>
        <v>3</v>
      </c>
      <c r="Q19" s="1">
        <v>51</v>
      </c>
      <c r="R19" s="1">
        <f t="shared" si="5"/>
        <v>2</v>
      </c>
      <c r="S19" s="1">
        <f t="shared" si="6"/>
        <v>34</v>
      </c>
    </row>
    <row r="20" spans="1:19" x14ac:dyDescent="0.45">
      <c r="A20" s="3">
        <f t="shared" si="7"/>
        <v>18</v>
      </c>
      <c r="H20" s="1">
        <v>4</v>
      </c>
      <c r="I20" s="1">
        <f t="shared" si="3"/>
        <v>1</v>
      </c>
      <c r="Q20" s="1">
        <v>34</v>
      </c>
      <c r="R20" s="1">
        <f t="shared" si="5"/>
        <v>2</v>
      </c>
      <c r="S20" s="1">
        <f t="shared" si="6"/>
        <v>33</v>
      </c>
    </row>
    <row r="21" spans="1:19" x14ac:dyDescent="0.45">
      <c r="A21" s="3">
        <f t="shared" si="7"/>
        <v>19</v>
      </c>
      <c r="H21" s="1">
        <v>26</v>
      </c>
      <c r="I21" s="1">
        <f t="shared" si="3"/>
        <v>3</v>
      </c>
      <c r="Q21" s="1">
        <v>66</v>
      </c>
      <c r="R21" s="1">
        <f t="shared" si="5"/>
        <v>3</v>
      </c>
      <c r="S21" s="1">
        <f t="shared" si="6"/>
        <v>33</v>
      </c>
    </row>
    <row r="22" spans="1:19" x14ac:dyDescent="0.45">
      <c r="A22" s="3">
        <f t="shared" si="7"/>
        <v>20</v>
      </c>
      <c r="H22" s="1">
        <v>62</v>
      </c>
      <c r="I22" s="1">
        <f t="shared" si="3"/>
        <v>5</v>
      </c>
      <c r="Q22" s="1">
        <v>82</v>
      </c>
      <c r="R22" s="1">
        <f t="shared" si="5"/>
        <v>4</v>
      </c>
      <c r="S22" s="1">
        <f t="shared" si="6"/>
        <v>34</v>
      </c>
    </row>
    <row r="23" spans="1:19" x14ac:dyDescent="0.45">
      <c r="A23" s="3">
        <f t="shared" si="7"/>
        <v>21</v>
      </c>
      <c r="H23" s="1">
        <v>27</v>
      </c>
      <c r="I23" s="1">
        <f t="shared" si="3"/>
        <v>3</v>
      </c>
      <c r="Q23" s="1">
        <v>62</v>
      </c>
      <c r="R23" s="1">
        <f t="shared" si="5"/>
        <v>3</v>
      </c>
      <c r="S23" s="1">
        <f t="shared" si="6"/>
        <v>34</v>
      </c>
    </row>
    <row r="24" spans="1:19" x14ac:dyDescent="0.45">
      <c r="A24" s="3">
        <f t="shared" si="7"/>
        <v>22</v>
      </c>
      <c r="H24" s="1">
        <v>20</v>
      </c>
      <c r="I24" s="1">
        <f t="shared" si="3"/>
        <v>2</v>
      </c>
      <c r="Q24" s="1">
        <v>46</v>
      </c>
      <c r="R24" s="1">
        <f t="shared" si="5"/>
        <v>2</v>
      </c>
      <c r="S24" s="1">
        <f t="shared" si="6"/>
        <v>34</v>
      </c>
    </row>
    <row r="25" spans="1:19" x14ac:dyDescent="0.45">
      <c r="A25" s="3">
        <f t="shared" si="7"/>
        <v>23</v>
      </c>
      <c r="H25" s="1">
        <v>19</v>
      </c>
      <c r="I25" s="1">
        <f t="shared" si="3"/>
        <v>2</v>
      </c>
      <c r="Q25" s="1">
        <v>33</v>
      </c>
      <c r="R25" s="1">
        <f t="shared" si="5"/>
        <v>2</v>
      </c>
      <c r="S25" s="1">
        <f t="shared" si="6"/>
        <v>34</v>
      </c>
    </row>
    <row r="26" spans="1:19" x14ac:dyDescent="0.45">
      <c r="A26" s="3">
        <f t="shared" si="7"/>
        <v>24</v>
      </c>
      <c r="H26" s="1">
        <v>89</v>
      </c>
      <c r="I26" s="1">
        <f t="shared" si="3"/>
        <v>6</v>
      </c>
      <c r="L26" s="8"/>
      <c r="M26" s="8" t="s">
        <v>19</v>
      </c>
      <c r="N26" s="8"/>
      <c r="Q26" s="1">
        <v>6</v>
      </c>
      <c r="R26" s="1">
        <f t="shared" si="5"/>
        <v>0</v>
      </c>
      <c r="S26" s="1">
        <f t="shared" si="6"/>
        <v>40</v>
      </c>
    </row>
    <row r="27" spans="1:19" x14ac:dyDescent="0.45">
      <c r="A27" s="3">
        <f t="shared" si="7"/>
        <v>25</v>
      </c>
      <c r="H27" s="1">
        <v>71</v>
      </c>
      <c r="I27" s="1">
        <f t="shared" si="3"/>
        <v>5</v>
      </c>
      <c r="L27" s="8"/>
      <c r="M27" s="8">
        <f>S31/I31</f>
        <v>6.836363636363636</v>
      </c>
      <c r="N27" s="8"/>
      <c r="Q27" s="1">
        <v>69</v>
      </c>
      <c r="R27" s="1">
        <f t="shared" si="5"/>
        <v>3</v>
      </c>
      <c r="S27" s="1">
        <f t="shared" si="6"/>
        <v>42</v>
      </c>
    </row>
    <row r="28" spans="1:19" x14ac:dyDescent="0.45">
      <c r="A28" s="3">
        <f t="shared" si="7"/>
        <v>26</v>
      </c>
      <c r="H28" s="1">
        <v>93</v>
      </c>
      <c r="I28" s="1">
        <f t="shared" si="3"/>
        <v>7</v>
      </c>
      <c r="Q28" s="1">
        <v>72</v>
      </c>
      <c r="R28" s="1">
        <f t="shared" si="5"/>
        <v>3</v>
      </c>
      <c r="S28" s="1">
        <f t="shared" si="6"/>
        <v>46</v>
      </c>
    </row>
    <row r="29" spans="1:19" x14ac:dyDescent="0.45">
      <c r="A29" s="3">
        <f t="shared" si="7"/>
        <v>27</v>
      </c>
      <c r="H29" s="1">
        <v>96</v>
      </c>
      <c r="I29" s="1">
        <f t="shared" si="3"/>
        <v>7</v>
      </c>
      <c r="L29" s="8"/>
      <c r="M29" s="8" t="s">
        <v>20</v>
      </c>
      <c r="N29" s="8"/>
      <c r="Q29" s="1">
        <v>1</v>
      </c>
      <c r="R29" s="1">
        <f t="shared" si="5"/>
        <v>0</v>
      </c>
      <c r="S29" s="1">
        <f t="shared" si="6"/>
        <v>53</v>
      </c>
    </row>
    <row r="30" spans="1:19" ht="15" customHeight="1" x14ac:dyDescent="0.45">
      <c r="A30" s="3">
        <f t="shared" si="7"/>
        <v>28</v>
      </c>
      <c r="H30" s="1">
        <v>7</v>
      </c>
      <c r="I30" s="1">
        <f t="shared" si="3"/>
        <v>1</v>
      </c>
      <c r="L30" s="8"/>
      <c r="M30" s="8">
        <f>R31/I31</f>
        <v>0.55454545454545456</v>
      </c>
      <c r="N30" s="8"/>
      <c r="Q30" s="1">
        <v>82</v>
      </c>
      <c r="R30" s="1">
        <f t="shared" si="5"/>
        <v>4</v>
      </c>
      <c r="S30" s="1">
        <f t="shared" si="6"/>
        <v>50</v>
      </c>
    </row>
    <row r="31" spans="1:19" x14ac:dyDescent="0.45">
      <c r="I31" s="8">
        <f>SUM(I2:I30)</f>
        <v>110</v>
      </c>
      <c r="R31" s="8">
        <f>SUM(R2:R30)</f>
        <v>61</v>
      </c>
      <c r="S31" s="8">
        <f>SUM(S2:S30)</f>
        <v>752</v>
      </c>
    </row>
  </sheetData>
  <conditionalFormatting sqref="I2:I30">
    <cfRule type="cellIs" dxfId="12" priority="5" operator="between">
      <formula>4</formula>
      <formula>3</formula>
    </cfRule>
    <cfRule type="cellIs" dxfId="11" priority="6" operator="lessThan">
      <formula>3</formula>
    </cfRule>
    <cfRule type="cellIs" dxfId="10" priority="11" operator="greaterThanOrEqual">
      <formula>5</formula>
    </cfRule>
  </conditionalFormatting>
  <conditionalFormatting sqref="R2:R30">
    <cfRule type="cellIs" dxfId="9" priority="7" operator="lessThan">
      <formula>3</formula>
    </cfRule>
    <cfRule type="cellIs" dxfId="8" priority="12" operator="greaterThanOrEqual">
      <formula>3</formula>
    </cfRule>
  </conditionalFormatting>
  <conditionalFormatting sqref="S2:S30">
    <cfRule type="cellIs" dxfId="7" priority="1" operator="equal">
      <formula>0</formula>
    </cfRule>
    <cfRule type="cellIs" dxfId="6" priority="2" operator="between">
      <formula>13</formula>
      <formula>1</formula>
    </cfRule>
    <cfRule type="cellIs" dxfId="5" priority="3" operator="between">
      <formula>13</formula>
      <formula>1</formula>
    </cfRule>
    <cfRule type="cellIs" dxfId="4" priority="4" operator="between">
      <formula>10</formula>
      <formula>1</formula>
    </cfRule>
    <cfRule type="cellIs" dxfId="3" priority="8" operator="equal">
      <formula>10</formula>
    </cfRule>
    <cfRule type="cellIs" dxfId="2" priority="9" operator="lessThan">
      <formula>10</formula>
    </cfRule>
    <cfRule type="cellIs" dxfId="1" priority="10" operator="greaterThanOrEqual">
      <formula>15</formula>
    </cfRule>
  </conditionalFormatting>
  <conditionalFormatting sqref="T15">
    <cfRule type="cellIs" dxfId="0" priority="14" operator="greaterThan">
      <formula>25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07D3-65D2-41C2-B50F-E4C99634C28D}">
  <sheetPr filterMode="1"/>
  <dimension ref="A1:AJ34"/>
  <sheetViews>
    <sheetView topLeftCell="C1" workbookViewId="0">
      <selection activeCell="F34" sqref="F34"/>
    </sheetView>
  </sheetViews>
  <sheetFormatPr defaultRowHeight="14.25" x14ac:dyDescent="0.45"/>
  <cols>
    <col min="2" max="2" width="12" bestFit="1" customWidth="1"/>
    <col min="3" max="3" width="10" bestFit="1" customWidth="1"/>
    <col min="4" max="4" width="19.59765625" bestFit="1" customWidth="1"/>
    <col min="5" max="6" width="10.53125" bestFit="1" customWidth="1"/>
    <col min="8" max="8" width="14" bestFit="1" customWidth="1"/>
    <col min="9" max="9" width="11" bestFit="1" customWidth="1"/>
    <col min="10" max="10" width="11.265625" bestFit="1" customWidth="1"/>
    <col min="11" max="11" width="9.6640625" bestFit="1" customWidth="1"/>
    <col min="12" max="12" width="9.9296875" bestFit="1" customWidth="1"/>
    <col min="13" max="13" width="19.6640625" bestFit="1" customWidth="1"/>
    <col min="14" max="15" width="10.46484375" bestFit="1" customWidth="1"/>
    <col min="16" max="16" width="11.265625" customWidth="1"/>
    <col min="17" max="17" width="14.796875" bestFit="1" customWidth="1"/>
    <col min="20" max="20" width="11.265625" bestFit="1" customWidth="1"/>
    <col min="21" max="21" width="9.9296875" bestFit="1" customWidth="1"/>
    <col min="22" max="22" width="19.6640625" bestFit="1" customWidth="1"/>
    <col min="23" max="24" width="10.46484375" bestFit="1" customWidth="1"/>
    <col min="25" max="25" width="6.33203125" bestFit="1" customWidth="1"/>
    <col min="26" max="26" width="14.796875" bestFit="1" customWidth="1"/>
    <col min="27" max="27" width="11.265625" bestFit="1" customWidth="1"/>
    <col min="29" max="29" width="6.86328125" bestFit="1" customWidth="1"/>
    <col min="30" max="30" width="9.9296875" bestFit="1" customWidth="1"/>
    <col min="31" max="31" width="19.6640625" bestFit="1" customWidth="1"/>
    <col min="32" max="33" width="10.46484375" bestFit="1" customWidth="1"/>
    <col min="34" max="34" width="6.33203125" bestFit="1" customWidth="1"/>
    <col min="35" max="35" width="14.796875" bestFit="1" customWidth="1"/>
    <col min="36" max="36" width="11.265625" bestFit="1" customWidth="1"/>
  </cols>
  <sheetData>
    <row r="1" spans="1:36" x14ac:dyDescent="0.45">
      <c r="A1" s="13" t="s">
        <v>31</v>
      </c>
      <c r="B1" s="12" t="s">
        <v>28</v>
      </c>
      <c r="C1" s="12" t="s">
        <v>15</v>
      </c>
      <c r="D1" s="12" t="s">
        <v>1</v>
      </c>
      <c r="E1" s="12" t="s">
        <v>3</v>
      </c>
      <c r="F1" s="12" t="s">
        <v>14</v>
      </c>
      <c r="G1" s="12" t="s">
        <v>2</v>
      </c>
      <c r="H1" s="12" t="s">
        <v>8</v>
      </c>
      <c r="I1" s="12" t="s">
        <v>28</v>
      </c>
      <c r="J1" s="1"/>
      <c r="K1" s="12" t="s">
        <v>29</v>
      </c>
      <c r="L1" s="12" t="s">
        <v>15</v>
      </c>
      <c r="M1" s="12" t="s">
        <v>1</v>
      </c>
      <c r="N1" s="12" t="s">
        <v>3</v>
      </c>
      <c r="O1" s="12" t="s">
        <v>14</v>
      </c>
      <c r="P1" s="12" t="s">
        <v>2</v>
      </c>
      <c r="Q1" s="12" t="s">
        <v>8</v>
      </c>
      <c r="R1" s="12" t="s">
        <v>29</v>
      </c>
      <c r="S1" s="1"/>
      <c r="T1" s="12" t="s">
        <v>5</v>
      </c>
      <c r="U1" s="12" t="s">
        <v>15</v>
      </c>
      <c r="V1" s="12" t="s">
        <v>1</v>
      </c>
      <c r="W1" s="12" t="s">
        <v>3</v>
      </c>
      <c r="X1" s="12" t="s">
        <v>14</v>
      </c>
      <c r="Y1" s="12" t="s">
        <v>2</v>
      </c>
      <c r="Z1" s="12" t="s">
        <v>8</v>
      </c>
      <c r="AA1" s="12" t="s">
        <v>5</v>
      </c>
      <c r="AB1" s="1"/>
      <c r="AC1" s="12" t="s">
        <v>30</v>
      </c>
      <c r="AD1" s="12" t="s">
        <v>15</v>
      </c>
      <c r="AE1" s="12" t="s">
        <v>1</v>
      </c>
      <c r="AF1" s="12" t="s">
        <v>3</v>
      </c>
      <c r="AG1" s="12" t="s">
        <v>14</v>
      </c>
      <c r="AH1" s="12" t="s">
        <v>2</v>
      </c>
      <c r="AI1" s="12" t="s">
        <v>8</v>
      </c>
      <c r="AJ1" s="12" t="s">
        <v>30</v>
      </c>
    </row>
    <row r="2" spans="1:36" x14ac:dyDescent="0.45">
      <c r="A2" s="11">
        <f>0+1</f>
        <v>1</v>
      </c>
      <c r="B2" s="11">
        <v>3</v>
      </c>
      <c r="C2" s="11">
        <v>0.21</v>
      </c>
      <c r="D2" s="11">
        <f>C2</f>
        <v>0.21</v>
      </c>
      <c r="E2" s="11">
        <f>D2-C2</f>
        <v>0</v>
      </c>
      <c r="F2" s="11">
        <f>D2*100-1</f>
        <v>20</v>
      </c>
      <c r="G2" s="11" t="str">
        <f>E2&amp;"-"&amp;F2</f>
        <v>0-20</v>
      </c>
      <c r="H2" s="11">
        <v>74</v>
      </c>
      <c r="I2" s="11">
        <f>INDEX(B$2:B$5,MATCH(H2,E$2:E$5,1))</f>
        <v>5</v>
      </c>
      <c r="J2" s="1"/>
      <c r="K2" s="11">
        <v>2500</v>
      </c>
      <c r="L2" s="11">
        <v>0.61</v>
      </c>
      <c r="M2" s="11">
        <f>L2</f>
        <v>0.61</v>
      </c>
      <c r="N2" s="11">
        <f>M2-L2</f>
        <v>0</v>
      </c>
      <c r="O2" s="11">
        <f>M2*100-1</f>
        <v>60</v>
      </c>
      <c r="P2" s="11" t="str">
        <f>N2&amp;"-"&amp;O2</f>
        <v>0-60</v>
      </c>
      <c r="Q2" s="11">
        <v>14</v>
      </c>
      <c r="R2" s="11">
        <f>_xlfn.XLOOKUP(Q2,N$2:N$5,K$2:K$5,,-1)</f>
        <v>2500</v>
      </c>
      <c r="S2" s="1"/>
      <c r="T2" s="11">
        <v>3</v>
      </c>
      <c r="U2" s="11">
        <v>0.12</v>
      </c>
      <c r="V2" s="11">
        <f>U2</f>
        <v>0.12</v>
      </c>
      <c r="W2" s="11">
        <f>V2-U2</f>
        <v>0</v>
      </c>
      <c r="X2" s="11">
        <f>(V2*100)-1</f>
        <v>11</v>
      </c>
      <c r="Y2" s="11" t="str">
        <f>W2&amp;"_"&amp;X2</f>
        <v>0_11</v>
      </c>
      <c r="Z2" s="11">
        <v>12</v>
      </c>
      <c r="AA2" s="11">
        <f>_xlfn.XLOOKUP(Z2,W$2:W$6,T$2:T$6,,-1)</f>
        <v>4</v>
      </c>
      <c r="AB2" s="1"/>
      <c r="AC2" s="11">
        <v>3500</v>
      </c>
      <c r="AD2" s="11">
        <v>0.17</v>
      </c>
      <c r="AE2" s="11">
        <f>AD2</f>
        <v>0.17</v>
      </c>
      <c r="AF2" s="11">
        <f>AE2-AD2</f>
        <v>0</v>
      </c>
      <c r="AG2" s="11">
        <f>(AE2*100)-1</f>
        <v>16</v>
      </c>
      <c r="AH2" s="11" t="str">
        <f>AF2&amp;"-"&amp;AG2</f>
        <v>0-16</v>
      </c>
      <c r="AI2" s="11">
        <v>45</v>
      </c>
      <c r="AJ2" s="11">
        <f>INDEX(AC$2:AC$6,MATCH(AI2,AF$2:AF$6,1))</f>
        <v>4000</v>
      </c>
    </row>
    <row r="3" spans="1:36" x14ac:dyDescent="0.45">
      <c r="A3" s="11">
        <f t="shared" ref="A3:A15" si="0">A2+1</f>
        <v>2</v>
      </c>
      <c r="B3" s="11">
        <v>4</v>
      </c>
      <c r="C3" s="11">
        <v>0.37</v>
      </c>
      <c r="D3" s="11">
        <f>D2+C3</f>
        <v>0.57999999999999996</v>
      </c>
      <c r="E3" s="11">
        <f>F2+1</f>
        <v>21</v>
      </c>
      <c r="F3" s="11">
        <f t="shared" ref="F3:F5" si="1">D3*100-1</f>
        <v>56.999999999999993</v>
      </c>
      <c r="G3" s="11" t="str">
        <f t="shared" ref="G3:G5" si="2">E3&amp;"-"&amp;F3</f>
        <v>21-57</v>
      </c>
      <c r="H3" s="11">
        <v>88</v>
      </c>
      <c r="I3" s="11">
        <f t="shared" ref="I3:I15" si="3">INDEX(B$2:B$5,MATCH(H3,E$2:E$5,1))</f>
        <v>5</v>
      </c>
      <c r="J3" s="1"/>
      <c r="K3" s="11">
        <v>3000</v>
      </c>
      <c r="L3" s="11">
        <v>0.25</v>
      </c>
      <c r="M3" s="11">
        <f>M2+L3</f>
        <v>0.86</v>
      </c>
      <c r="N3" s="11">
        <f>O2+1</f>
        <v>61</v>
      </c>
      <c r="O3" s="11">
        <f t="shared" ref="O3:O5" si="4">M3*100-1</f>
        <v>85</v>
      </c>
      <c r="P3" s="11" t="str">
        <f t="shared" ref="P3:P5" si="5">N3&amp;"-"&amp;O3</f>
        <v>61-85</v>
      </c>
      <c r="Q3" s="11">
        <v>43</v>
      </c>
      <c r="R3" s="11">
        <f>_xlfn.XLOOKUP(Q3,N$2:N$5,K$2:K$5,,-1)</f>
        <v>2500</v>
      </c>
      <c r="S3" s="1"/>
      <c r="T3" s="11">
        <v>4</v>
      </c>
      <c r="U3" s="11">
        <v>0.28999999999999998</v>
      </c>
      <c r="V3" s="11">
        <f>V2+U3</f>
        <v>0.41</v>
      </c>
      <c r="W3" s="11">
        <f>X2+1</f>
        <v>12</v>
      </c>
      <c r="X3" s="11">
        <f t="shared" ref="X3:X6" si="6">(V3*100)-1</f>
        <v>40</v>
      </c>
      <c r="Y3" s="11" t="str">
        <f t="shared" ref="Y3:Y6" si="7">W3&amp;"_"&amp;X3</f>
        <v>12_40</v>
      </c>
      <c r="Z3" s="11">
        <v>89</v>
      </c>
      <c r="AA3" s="11">
        <f t="shared" ref="AA3:AA15" si="8">_xlfn.XLOOKUP(Z3,W$2:W$6,T$2:T$6,,-1)</f>
        <v>6</v>
      </c>
      <c r="AB3" s="1"/>
      <c r="AC3" s="11">
        <v>4000</v>
      </c>
      <c r="AD3" s="11">
        <v>0.35</v>
      </c>
      <c r="AE3" s="11">
        <f>AE2+AD3</f>
        <v>0.52</v>
      </c>
      <c r="AF3" s="11">
        <f>AG2+1</f>
        <v>17</v>
      </c>
      <c r="AG3" s="11">
        <f t="shared" ref="AG3:AG6" si="9">(AE3*100)-1</f>
        <v>51</v>
      </c>
      <c r="AH3" s="11" t="str">
        <f t="shared" ref="AH3:AH6" si="10">AF3&amp;"-"&amp;AG3</f>
        <v>17-51</v>
      </c>
      <c r="AI3" s="11">
        <v>59</v>
      </c>
      <c r="AJ3" s="11">
        <f t="shared" ref="AJ3:AJ15" si="11">INDEX(AC$2:AC$6,MATCH(AI3,AF$2:AF$6,1))</f>
        <v>5000</v>
      </c>
    </row>
    <row r="4" spans="1:36" x14ac:dyDescent="0.45">
      <c r="A4" s="11">
        <f t="shared" si="0"/>
        <v>3</v>
      </c>
      <c r="B4" s="11">
        <v>5</v>
      </c>
      <c r="C4" s="11">
        <v>0.39</v>
      </c>
      <c r="D4" s="11">
        <f t="shared" ref="D4:D5" si="12">D3+C4</f>
        <v>0.97</v>
      </c>
      <c r="E4" s="11">
        <f t="shared" ref="E4:E5" si="13">F3+1</f>
        <v>57.999999999999993</v>
      </c>
      <c r="F4" s="11">
        <f t="shared" si="1"/>
        <v>96</v>
      </c>
      <c r="G4" s="11" t="str">
        <f t="shared" si="2"/>
        <v>58-96</v>
      </c>
      <c r="H4" s="11">
        <v>84</v>
      </c>
      <c r="I4" s="11">
        <f t="shared" si="3"/>
        <v>5</v>
      </c>
      <c r="J4" s="1"/>
      <c r="K4" s="11">
        <v>4000</v>
      </c>
      <c r="L4" s="11">
        <v>0.1</v>
      </c>
      <c r="M4" s="11">
        <f t="shared" ref="M4:M5" si="14">M3+L4</f>
        <v>0.96</v>
      </c>
      <c r="N4" s="11">
        <f t="shared" ref="N4:N5" si="15">O3+1</f>
        <v>86</v>
      </c>
      <c r="O4" s="11">
        <f t="shared" si="4"/>
        <v>95</v>
      </c>
      <c r="P4" s="11" t="str">
        <f t="shared" si="5"/>
        <v>86-95</v>
      </c>
      <c r="Q4" s="11">
        <v>27</v>
      </c>
      <c r="R4" s="11">
        <f t="shared" ref="R4:R15" si="16">_xlfn.XLOOKUP(Q4,N$2:N$5,K$2:K$5,,-1)</f>
        <v>2500</v>
      </c>
      <c r="S4" s="1"/>
      <c r="T4" s="11">
        <v>5</v>
      </c>
      <c r="U4" s="11">
        <v>0.35</v>
      </c>
      <c r="V4" s="11">
        <f t="shared" ref="V4:V6" si="17">V3+U4</f>
        <v>0.76</v>
      </c>
      <c r="W4" s="11">
        <f t="shared" ref="W4:W6" si="18">X3+1</f>
        <v>41</v>
      </c>
      <c r="X4" s="11">
        <f t="shared" si="6"/>
        <v>75</v>
      </c>
      <c r="Y4" s="11" t="str">
        <f t="shared" si="7"/>
        <v>41_75</v>
      </c>
      <c r="Z4" s="11">
        <v>29</v>
      </c>
      <c r="AA4" s="11">
        <f t="shared" si="8"/>
        <v>4</v>
      </c>
      <c r="AB4" s="1"/>
      <c r="AC4" s="11">
        <v>5000</v>
      </c>
      <c r="AD4" s="11">
        <v>0.24</v>
      </c>
      <c r="AE4" s="11">
        <f t="shared" ref="AE4:AE6" si="19">AE3+AD4</f>
        <v>0.76</v>
      </c>
      <c r="AF4" s="11">
        <f t="shared" ref="AF4:AF6" si="20">AG3+1</f>
        <v>52</v>
      </c>
      <c r="AG4" s="11">
        <f t="shared" si="9"/>
        <v>75</v>
      </c>
      <c r="AH4" s="11" t="str">
        <f t="shared" si="10"/>
        <v>52-75</v>
      </c>
      <c r="AI4" s="11">
        <v>16</v>
      </c>
      <c r="AJ4" s="11">
        <f t="shared" si="11"/>
        <v>3500</v>
      </c>
    </row>
    <row r="5" spans="1:36" x14ac:dyDescent="0.45">
      <c r="A5" s="11">
        <f t="shared" si="0"/>
        <v>4</v>
      </c>
      <c r="B5" s="11">
        <v>6</v>
      </c>
      <c r="C5" s="11">
        <v>0.03</v>
      </c>
      <c r="D5" s="11">
        <f t="shared" si="12"/>
        <v>1</v>
      </c>
      <c r="E5" s="11">
        <f t="shared" si="13"/>
        <v>97</v>
      </c>
      <c r="F5" s="11">
        <f t="shared" si="1"/>
        <v>99</v>
      </c>
      <c r="G5" s="11" t="str">
        <f t="shared" si="2"/>
        <v>97-99</v>
      </c>
      <c r="H5" s="11">
        <v>49</v>
      </c>
      <c r="I5" s="11">
        <f t="shared" si="3"/>
        <v>4</v>
      </c>
      <c r="J5" s="1"/>
      <c r="K5" s="11">
        <v>4200</v>
      </c>
      <c r="L5" s="11">
        <v>0.04</v>
      </c>
      <c r="M5" s="11">
        <f t="shared" si="14"/>
        <v>1</v>
      </c>
      <c r="N5" s="11">
        <f t="shared" si="15"/>
        <v>96</v>
      </c>
      <c r="O5" s="11">
        <f t="shared" si="4"/>
        <v>99</v>
      </c>
      <c r="P5" s="11" t="str">
        <f t="shared" si="5"/>
        <v>96-99</v>
      </c>
      <c r="Q5" s="11">
        <v>17</v>
      </c>
      <c r="R5" s="11">
        <f t="shared" si="16"/>
        <v>2500</v>
      </c>
      <c r="S5" s="1"/>
      <c r="T5" s="11">
        <v>6</v>
      </c>
      <c r="U5" s="11">
        <v>0.17</v>
      </c>
      <c r="V5" s="11">
        <f t="shared" si="17"/>
        <v>0.93</v>
      </c>
      <c r="W5" s="11">
        <f t="shared" si="18"/>
        <v>76</v>
      </c>
      <c r="X5" s="11">
        <f t="shared" si="6"/>
        <v>92</v>
      </c>
      <c r="Y5" s="11" t="str">
        <f t="shared" si="7"/>
        <v>76_92</v>
      </c>
      <c r="Z5" s="11">
        <v>89</v>
      </c>
      <c r="AA5" s="11">
        <f t="shared" si="8"/>
        <v>6</v>
      </c>
      <c r="AB5" s="1"/>
      <c r="AC5" s="11">
        <v>6000</v>
      </c>
      <c r="AD5" s="11">
        <v>0.21</v>
      </c>
      <c r="AE5" s="11">
        <f t="shared" si="19"/>
        <v>0.97</v>
      </c>
      <c r="AF5" s="11">
        <f t="shared" si="20"/>
        <v>76</v>
      </c>
      <c r="AG5" s="11">
        <f t="shared" si="9"/>
        <v>96</v>
      </c>
      <c r="AH5" s="11" t="str">
        <f t="shared" si="10"/>
        <v>76-96</v>
      </c>
      <c r="AI5" s="11">
        <v>46</v>
      </c>
      <c r="AJ5" s="11">
        <f t="shared" si="11"/>
        <v>4000</v>
      </c>
    </row>
    <row r="6" spans="1:36" x14ac:dyDescent="0.45">
      <c r="A6" s="11">
        <f t="shared" si="0"/>
        <v>5</v>
      </c>
      <c r="B6" s="11"/>
      <c r="C6" s="11"/>
      <c r="D6" s="11"/>
      <c r="E6" s="11"/>
      <c r="F6" s="11"/>
      <c r="G6" s="11"/>
      <c r="H6" s="11">
        <v>14</v>
      </c>
      <c r="I6" s="11">
        <f t="shared" si="3"/>
        <v>3</v>
      </c>
      <c r="J6" s="1"/>
      <c r="K6" s="11"/>
      <c r="L6" s="11"/>
      <c r="M6" s="11"/>
      <c r="N6" s="11"/>
      <c r="O6" s="11"/>
      <c r="P6" s="11"/>
      <c r="Q6" s="11">
        <v>65</v>
      </c>
      <c r="R6" s="11">
        <f t="shared" si="16"/>
        <v>3000</v>
      </c>
      <c r="S6" s="1"/>
      <c r="T6" s="11">
        <v>7</v>
      </c>
      <c r="U6" s="11">
        <v>7.0000000000000007E-2</v>
      </c>
      <c r="V6" s="11">
        <f t="shared" si="17"/>
        <v>1</v>
      </c>
      <c r="W6" s="11">
        <f t="shared" si="18"/>
        <v>93</v>
      </c>
      <c r="X6" s="11">
        <f t="shared" si="6"/>
        <v>99</v>
      </c>
      <c r="Y6" s="11" t="str">
        <f t="shared" si="7"/>
        <v>93_99</v>
      </c>
      <c r="Z6" s="11">
        <v>65</v>
      </c>
      <c r="AA6" s="11">
        <f t="shared" si="8"/>
        <v>5</v>
      </c>
      <c r="AB6" s="1"/>
      <c r="AC6" s="11">
        <v>7000</v>
      </c>
      <c r="AD6" s="11">
        <v>0.03</v>
      </c>
      <c r="AE6" s="11">
        <f t="shared" si="19"/>
        <v>1</v>
      </c>
      <c r="AF6" s="11">
        <f t="shared" si="20"/>
        <v>97</v>
      </c>
      <c r="AG6" s="11">
        <f t="shared" si="9"/>
        <v>99</v>
      </c>
      <c r="AH6" s="11" t="str">
        <f t="shared" si="10"/>
        <v>97-99</v>
      </c>
      <c r="AI6" s="11">
        <v>47</v>
      </c>
      <c r="AJ6" s="11">
        <f t="shared" si="11"/>
        <v>4000</v>
      </c>
    </row>
    <row r="7" spans="1:36" x14ac:dyDescent="0.45">
      <c r="A7" s="11">
        <f t="shared" si="0"/>
        <v>6</v>
      </c>
      <c r="B7" s="11"/>
      <c r="C7" s="11"/>
      <c r="D7" s="11"/>
      <c r="E7" s="11"/>
      <c r="F7" s="11"/>
      <c r="G7" s="11"/>
      <c r="H7" s="11">
        <v>6</v>
      </c>
      <c r="I7" s="11">
        <f t="shared" si="3"/>
        <v>3</v>
      </c>
      <c r="J7" s="1"/>
      <c r="K7" s="11"/>
      <c r="L7" s="11"/>
      <c r="M7" s="11"/>
      <c r="N7" s="11"/>
      <c r="O7" s="11"/>
      <c r="P7" s="11"/>
      <c r="Q7" s="11">
        <v>2</v>
      </c>
      <c r="R7" s="11">
        <f t="shared" si="16"/>
        <v>2500</v>
      </c>
      <c r="S7" s="1"/>
      <c r="T7" s="11"/>
      <c r="U7" s="11"/>
      <c r="V7" s="11"/>
      <c r="W7" s="11"/>
      <c r="X7" s="11"/>
      <c r="Y7" s="11"/>
      <c r="Z7" s="11">
        <v>65</v>
      </c>
      <c r="AA7" s="11">
        <f t="shared" si="8"/>
        <v>5</v>
      </c>
      <c r="AB7" s="1"/>
      <c r="AC7" s="11"/>
      <c r="AD7" s="11"/>
      <c r="AE7" s="11"/>
      <c r="AF7" s="11"/>
      <c r="AG7" s="11"/>
      <c r="AH7" s="11"/>
      <c r="AI7" s="11">
        <v>70</v>
      </c>
      <c r="AJ7" s="11">
        <f t="shared" si="11"/>
        <v>5000</v>
      </c>
    </row>
    <row r="8" spans="1:36" x14ac:dyDescent="0.45">
      <c r="A8" s="11">
        <f t="shared" si="0"/>
        <v>7</v>
      </c>
      <c r="B8" s="11"/>
      <c r="C8" s="11"/>
      <c r="D8" s="11"/>
      <c r="E8" s="11"/>
      <c r="F8" s="11"/>
      <c r="G8" s="11"/>
      <c r="H8" s="11">
        <v>85</v>
      </c>
      <c r="I8" s="11">
        <f t="shared" si="3"/>
        <v>5</v>
      </c>
      <c r="J8" s="1"/>
      <c r="K8" s="11"/>
      <c r="L8" s="11"/>
      <c r="M8" s="11"/>
      <c r="N8" s="11"/>
      <c r="O8" s="11"/>
      <c r="P8" s="11"/>
      <c r="Q8" s="11">
        <v>30</v>
      </c>
      <c r="R8" s="11">
        <f t="shared" si="16"/>
        <v>2500</v>
      </c>
      <c r="S8" s="1"/>
      <c r="T8" s="11"/>
      <c r="U8" s="11"/>
      <c r="V8" s="11"/>
      <c r="W8" s="11"/>
      <c r="X8" s="11"/>
      <c r="Y8" s="11"/>
      <c r="Z8" s="11">
        <v>53</v>
      </c>
      <c r="AA8" s="11">
        <f t="shared" si="8"/>
        <v>5</v>
      </c>
      <c r="AB8" s="1"/>
      <c r="AC8" s="11"/>
      <c r="AD8" s="11"/>
      <c r="AE8" s="11"/>
      <c r="AF8" s="11"/>
      <c r="AG8" s="11"/>
      <c r="AH8" s="11"/>
      <c r="AI8" s="11">
        <v>3</v>
      </c>
      <c r="AJ8" s="11">
        <f t="shared" si="11"/>
        <v>3500</v>
      </c>
    </row>
    <row r="9" spans="1:36" x14ac:dyDescent="0.45">
      <c r="A9" s="11">
        <f t="shared" si="0"/>
        <v>8</v>
      </c>
      <c r="B9" s="11"/>
      <c r="C9" s="11"/>
      <c r="D9" s="11"/>
      <c r="E9" s="11"/>
      <c r="F9" s="11"/>
      <c r="G9" s="11"/>
      <c r="H9" s="11">
        <v>25</v>
      </c>
      <c r="I9" s="11">
        <f t="shared" si="3"/>
        <v>4</v>
      </c>
      <c r="J9" s="1"/>
      <c r="K9" s="11"/>
      <c r="L9" s="11"/>
      <c r="M9" s="11"/>
      <c r="N9" s="11"/>
      <c r="O9" s="11"/>
      <c r="P9" s="11"/>
      <c r="Q9" s="11">
        <v>86</v>
      </c>
      <c r="R9" s="11">
        <f t="shared" si="16"/>
        <v>4000</v>
      </c>
      <c r="S9" s="1"/>
      <c r="T9" s="11"/>
      <c r="U9" s="11"/>
      <c r="V9" s="11"/>
      <c r="W9" s="11"/>
      <c r="X9" s="11"/>
      <c r="Y9" s="11"/>
      <c r="Z9" s="11">
        <v>21</v>
      </c>
      <c r="AA9" s="11">
        <f t="shared" si="8"/>
        <v>4</v>
      </c>
      <c r="AB9" s="1"/>
      <c r="AC9" s="11"/>
      <c r="AD9" s="11"/>
      <c r="AE9" s="11"/>
      <c r="AF9" s="11"/>
      <c r="AG9" s="11"/>
      <c r="AH9" s="11"/>
      <c r="AI9" s="11">
        <v>48</v>
      </c>
      <c r="AJ9" s="11">
        <f t="shared" si="11"/>
        <v>4000</v>
      </c>
    </row>
    <row r="10" spans="1:36" x14ac:dyDescent="0.45">
      <c r="A10" s="11">
        <f t="shared" si="0"/>
        <v>9</v>
      </c>
      <c r="B10" s="11"/>
      <c r="C10" s="11"/>
      <c r="D10" s="11"/>
      <c r="E10" s="11"/>
      <c r="F10" s="11"/>
      <c r="G10" s="11"/>
      <c r="H10" s="11">
        <v>33</v>
      </c>
      <c r="I10" s="11">
        <f t="shared" si="3"/>
        <v>4</v>
      </c>
      <c r="J10" s="1"/>
      <c r="K10" s="11"/>
      <c r="L10" s="11"/>
      <c r="M10" s="11"/>
      <c r="N10" s="11"/>
      <c r="O10" s="11"/>
      <c r="P10" s="11"/>
      <c r="Q10" s="11">
        <v>86</v>
      </c>
      <c r="R10" s="11">
        <f t="shared" si="16"/>
        <v>4000</v>
      </c>
      <c r="S10" s="1"/>
      <c r="T10" s="11"/>
      <c r="U10" s="11"/>
      <c r="V10" s="11"/>
      <c r="W10" s="11"/>
      <c r="X10" s="11"/>
      <c r="Y10" s="11"/>
      <c r="Z10" s="11">
        <v>24</v>
      </c>
      <c r="AA10" s="11">
        <f t="shared" si="8"/>
        <v>4</v>
      </c>
      <c r="AB10" s="1"/>
      <c r="AC10" s="11"/>
      <c r="AD10" s="11"/>
      <c r="AE10" s="11"/>
      <c r="AF10" s="11"/>
      <c r="AG10" s="11"/>
      <c r="AH10" s="11"/>
      <c r="AI10" s="11">
        <v>12</v>
      </c>
      <c r="AJ10" s="11">
        <f t="shared" si="11"/>
        <v>3500</v>
      </c>
    </row>
    <row r="11" spans="1:36" x14ac:dyDescent="0.45">
      <c r="A11" s="11">
        <f t="shared" si="0"/>
        <v>10</v>
      </c>
      <c r="B11" s="11"/>
      <c r="C11" s="11"/>
      <c r="D11" s="11"/>
      <c r="E11" s="11"/>
      <c r="F11" s="11"/>
      <c r="G11" s="11"/>
      <c r="H11" s="11">
        <v>30</v>
      </c>
      <c r="I11" s="11">
        <f>INDEX(B$2:B$5,MATCH(H11,E$2:E$5,1))</f>
        <v>4</v>
      </c>
      <c r="J11" s="1"/>
      <c r="K11" s="11"/>
      <c r="L11" s="11"/>
      <c r="M11" s="11"/>
      <c r="N11" s="11"/>
      <c r="O11" s="11"/>
      <c r="P11" s="11"/>
      <c r="Q11" s="11">
        <v>26</v>
      </c>
      <c r="R11" s="11">
        <f t="shared" si="16"/>
        <v>2500</v>
      </c>
      <c r="S11" s="1"/>
      <c r="T11" s="11"/>
      <c r="U11" s="11"/>
      <c r="V11" s="11"/>
      <c r="W11" s="11"/>
      <c r="X11" s="11"/>
      <c r="Y11" s="11"/>
      <c r="Z11" s="11">
        <v>35</v>
      </c>
      <c r="AA11" s="11">
        <f t="shared" si="8"/>
        <v>4</v>
      </c>
      <c r="AB11" s="1"/>
      <c r="AC11" s="11"/>
      <c r="AD11" s="11"/>
      <c r="AE11" s="11"/>
      <c r="AF11" s="11"/>
      <c r="AG11" s="11"/>
      <c r="AH11" s="11"/>
      <c r="AI11" s="11">
        <v>40</v>
      </c>
      <c r="AJ11" s="11">
        <f t="shared" si="11"/>
        <v>4000</v>
      </c>
    </row>
    <row r="12" spans="1:36" x14ac:dyDescent="0.45">
      <c r="A12" s="11">
        <f t="shared" si="0"/>
        <v>11</v>
      </c>
      <c r="B12" s="11"/>
      <c r="C12" s="11"/>
      <c r="D12" s="11"/>
      <c r="E12" s="11"/>
      <c r="F12" s="11"/>
      <c r="G12" s="11"/>
      <c r="H12" s="11">
        <v>54</v>
      </c>
      <c r="I12" s="11">
        <f t="shared" si="3"/>
        <v>4</v>
      </c>
      <c r="J12" s="1"/>
      <c r="K12" s="11"/>
      <c r="L12" s="11"/>
      <c r="M12" s="11"/>
      <c r="N12" s="11"/>
      <c r="O12" s="11"/>
      <c r="P12" s="11"/>
      <c r="Q12" s="11">
        <v>5</v>
      </c>
      <c r="R12" s="11">
        <f t="shared" si="16"/>
        <v>2500</v>
      </c>
      <c r="S12" s="1"/>
      <c r="T12" s="11"/>
      <c r="U12" s="11"/>
      <c r="V12" s="11"/>
      <c r="W12" s="11"/>
      <c r="X12" s="11"/>
      <c r="Y12" s="11"/>
      <c r="Z12" s="11">
        <v>41</v>
      </c>
      <c r="AA12" s="11">
        <f t="shared" si="8"/>
        <v>5</v>
      </c>
      <c r="AB12" s="1"/>
      <c r="AC12" s="11"/>
      <c r="AD12" s="11"/>
      <c r="AE12" s="11"/>
      <c r="AF12" s="11"/>
      <c r="AG12" s="11"/>
      <c r="AH12" s="11"/>
      <c r="AI12" s="11">
        <v>15</v>
      </c>
      <c r="AJ12" s="11">
        <f t="shared" si="11"/>
        <v>3500</v>
      </c>
    </row>
    <row r="13" spans="1:36" x14ac:dyDescent="0.45">
      <c r="A13" s="11">
        <f t="shared" si="0"/>
        <v>12</v>
      </c>
      <c r="B13" s="11"/>
      <c r="C13" s="11"/>
      <c r="D13" s="11"/>
      <c r="E13" s="11"/>
      <c r="F13" s="11"/>
      <c r="G13" s="11"/>
      <c r="H13" s="11">
        <v>2</v>
      </c>
      <c r="I13" s="11">
        <f t="shared" si="3"/>
        <v>3</v>
      </c>
      <c r="J13" s="1"/>
      <c r="K13" s="11"/>
      <c r="L13" s="11"/>
      <c r="M13" s="11"/>
      <c r="N13" s="11"/>
      <c r="O13" s="11"/>
      <c r="P13" s="11"/>
      <c r="Q13" s="11">
        <v>30</v>
      </c>
      <c r="R13" s="11">
        <f t="shared" si="16"/>
        <v>2500</v>
      </c>
      <c r="S13" s="1"/>
      <c r="T13" s="11"/>
      <c r="U13" s="11"/>
      <c r="V13" s="11"/>
      <c r="W13" s="11"/>
      <c r="X13" s="11"/>
      <c r="Y13" s="11"/>
      <c r="Z13" s="11">
        <v>53</v>
      </c>
      <c r="AA13" s="11">
        <f t="shared" si="8"/>
        <v>5</v>
      </c>
      <c r="AB13" s="1"/>
      <c r="AC13" s="11"/>
      <c r="AD13" s="11"/>
      <c r="AE13" s="11"/>
      <c r="AF13" s="11"/>
      <c r="AG13" s="11"/>
      <c r="AH13" s="11"/>
      <c r="AI13" s="11">
        <v>90</v>
      </c>
      <c r="AJ13" s="11">
        <f t="shared" si="11"/>
        <v>6000</v>
      </c>
    </row>
    <row r="14" spans="1:36" x14ac:dyDescent="0.45">
      <c r="A14" s="11">
        <f t="shared" si="0"/>
        <v>13</v>
      </c>
      <c r="B14" s="11"/>
      <c r="C14" s="11"/>
      <c r="D14" s="11"/>
      <c r="E14" s="11"/>
      <c r="F14" s="11"/>
      <c r="G14" s="11"/>
      <c r="H14" s="11">
        <v>2</v>
      </c>
      <c r="I14" s="11">
        <f t="shared" si="3"/>
        <v>3</v>
      </c>
      <c r="J14" s="1"/>
      <c r="K14" s="11"/>
      <c r="L14" s="11"/>
      <c r="M14" s="11"/>
      <c r="N14" s="11"/>
      <c r="O14" s="11"/>
      <c r="P14" s="11"/>
      <c r="Q14" s="11">
        <v>33</v>
      </c>
      <c r="R14" s="11">
        <f t="shared" si="16"/>
        <v>2500</v>
      </c>
      <c r="S14" s="1"/>
      <c r="T14" s="11"/>
      <c r="U14" s="11"/>
      <c r="V14" s="11"/>
      <c r="W14" s="11"/>
      <c r="X14" s="11"/>
      <c r="Y14" s="11"/>
      <c r="Z14" s="11">
        <v>50</v>
      </c>
      <c r="AA14" s="11">
        <f t="shared" si="8"/>
        <v>5</v>
      </c>
      <c r="AB14" s="1"/>
      <c r="AC14" s="11"/>
      <c r="AD14" s="11"/>
      <c r="AE14" s="11"/>
      <c r="AF14" s="11"/>
      <c r="AG14" s="11"/>
      <c r="AH14" s="11"/>
      <c r="AI14" s="11">
        <v>60</v>
      </c>
      <c r="AJ14" s="11">
        <f t="shared" si="11"/>
        <v>5000</v>
      </c>
    </row>
    <row r="15" spans="1:36" x14ac:dyDescent="0.45">
      <c r="A15" s="11">
        <f t="shared" si="0"/>
        <v>14</v>
      </c>
      <c r="B15" s="11"/>
      <c r="C15" s="11"/>
      <c r="D15" s="11"/>
      <c r="E15" s="11"/>
      <c r="F15" s="11"/>
      <c r="G15" s="11"/>
      <c r="H15" s="11">
        <v>38</v>
      </c>
      <c r="I15" s="11">
        <f t="shared" si="3"/>
        <v>4</v>
      </c>
      <c r="J15" s="1"/>
      <c r="K15" s="11"/>
      <c r="L15" s="11"/>
      <c r="M15" s="11"/>
      <c r="N15" s="11"/>
      <c r="O15" s="11"/>
      <c r="P15" s="11"/>
      <c r="Q15" s="11">
        <v>43</v>
      </c>
      <c r="R15" s="11">
        <f t="shared" si="16"/>
        <v>2500</v>
      </c>
      <c r="S15" s="1"/>
      <c r="T15" s="11"/>
      <c r="U15" s="11"/>
      <c r="V15" s="11"/>
      <c r="W15" s="11"/>
      <c r="X15" s="11"/>
      <c r="Y15" s="11"/>
      <c r="Z15" s="11">
        <v>67</v>
      </c>
      <c r="AA15" s="11">
        <f t="shared" si="8"/>
        <v>5</v>
      </c>
      <c r="AB15" s="1"/>
      <c r="AC15" s="11"/>
      <c r="AD15" s="11"/>
      <c r="AE15" s="11"/>
      <c r="AF15" s="11"/>
      <c r="AG15" s="11"/>
      <c r="AH15" s="11"/>
      <c r="AI15" s="11">
        <v>45</v>
      </c>
      <c r="AJ15" s="11">
        <f t="shared" si="11"/>
        <v>4000</v>
      </c>
    </row>
    <row r="16" spans="1:36" x14ac:dyDescent="0.45">
      <c r="Q16" s="1"/>
      <c r="R16" s="1"/>
    </row>
    <row r="18" spans="1:16" x14ac:dyDescent="0.45">
      <c r="J18" s="24" t="s">
        <v>49</v>
      </c>
      <c r="K18" s="24"/>
      <c r="L18" s="24"/>
      <c r="M18" s="24"/>
      <c r="N18" s="24"/>
      <c r="O18" s="24"/>
      <c r="P18" s="24"/>
    </row>
    <row r="19" spans="1:16" x14ac:dyDescent="0.45">
      <c r="B19" s="29" t="s">
        <v>28</v>
      </c>
      <c r="C19" s="29" t="s">
        <v>29</v>
      </c>
      <c r="D19" s="29" t="s">
        <v>5</v>
      </c>
      <c r="E19" s="30" t="s">
        <v>30</v>
      </c>
      <c r="F19" s="29" t="s">
        <v>11</v>
      </c>
      <c r="J19" s="13" t="s">
        <v>28</v>
      </c>
      <c r="K19" s="13" t="s">
        <v>29</v>
      </c>
      <c r="L19" s="13" t="s">
        <v>5</v>
      </c>
      <c r="M19" s="12" t="s">
        <v>30</v>
      </c>
      <c r="N19" s="19" t="s">
        <v>50</v>
      </c>
      <c r="O19" s="21" t="s">
        <v>51</v>
      </c>
      <c r="P19" s="21" t="s">
        <v>11</v>
      </c>
    </row>
    <row r="20" spans="1:16" x14ac:dyDescent="0.45">
      <c r="B20" s="31">
        <v>5</v>
      </c>
      <c r="C20" s="31">
        <v>2500</v>
      </c>
      <c r="D20" s="31">
        <v>4</v>
      </c>
      <c r="E20" s="31">
        <v>4000</v>
      </c>
      <c r="F20" s="31">
        <f>E20*D20-C20-(B20*E20)</f>
        <v>-6500</v>
      </c>
      <c r="J20" s="11">
        <v>5</v>
      </c>
      <c r="K20" s="11">
        <v>2500</v>
      </c>
      <c r="L20" s="11">
        <v>4</v>
      </c>
      <c r="M20" s="11">
        <v>4000</v>
      </c>
      <c r="N20" s="25">
        <f>(M20*L20-K20-(J20*M20))</f>
        <v>-6500</v>
      </c>
      <c r="O20" s="26">
        <v>-5000</v>
      </c>
      <c r="P20" s="26">
        <f t="shared" ref="P20:P33" si="21">IF(N20&lt;O20,O20,N20)</f>
        <v>-5000</v>
      </c>
    </row>
    <row r="21" spans="1:16" hidden="1" x14ac:dyDescent="0.45">
      <c r="A21">
        <v>6</v>
      </c>
      <c r="B21" s="14">
        <v>5</v>
      </c>
      <c r="C21" s="14">
        <v>2500</v>
      </c>
      <c r="D21" s="14">
        <v>6</v>
      </c>
      <c r="E21" s="11">
        <v>5000</v>
      </c>
      <c r="F21" s="11">
        <f>E21*D21-C21-(B21*E21)</f>
        <v>2500</v>
      </c>
      <c r="J21" s="14">
        <v>5</v>
      </c>
      <c r="K21" s="14">
        <v>2500</v>
      </c>
      <c r="L21" s="14">
        <v>4</v>
      </c>
      <c r="M21" s="11">
        <v>3500</v>
      </c>
      <c r="N21" s="23">
        <f t="shared" ref="N21:N33" si="22">(M21*L21-K21-(J21*M21))</f>
        <v>-6000</v>
      </c>
      <c r="O21" s="22">
        <v>-5000</v>
      </c>
      <c r="P21" s="22">
        <f t="shared" si="21"/>
        <v>-5000</v>
      </c>
    </row>
    <row r="22" spans="1:16" x14ac:dyDescent="0.45">
      <c r="B22" s="31">
        <v>5</v>
      </c>
      <c r="C22" s="31">
        <v>2500</v>
      </c>
      <c r="D22" s="31">
        <v>4</v>
      </c>
      <c r="E22" s="31">
        <v>3500</v>
      </c>
      <c r="F22" s="31">
        <f>E22*D22-C22-(B22*E22)</f>
        <v>-6000</v>
      </c>
      <c r="J22" s="11">
        <v>4</v>
      </c>
      <c r="K22" s="11">
        <v>2500</v>
      </c>
      <c r="L22" s="11">
        <v>6</v>
      </c>
      <c r="M22" s="11">
        <v>4000</v>
      </c>
      <c r="N22" s="25">
        <f t="shared" si="22"/>
        <v>5500</v>
      </c>
      <c r="O22" s="26">
        <v>-5000</v>
      </c>
      <c r="P22" s="26">
        <f t="shared" si="21"/>
        <v>5500</v>
      </c>
    </row>
    <row r="23" spans="1:16" x14ac:dyDescent="0.45">
      <c r="B23" s="31">
        <v>4</v>
      </c>
      <c r="C23" s="31">
        <v>2500</v>
      </c>
      <c r="D23" s="31">
        <v>6</v>
      </c>
      <c r="E23" s="31">
        <v>4000</v>
      </c>
      <c r="F23" s="31">
        <f>E23*D23-C23-(B23*E23)</f>
        <v>5500</v>
      </c>
      <c r="J23" s="11">
        <v>3</v>
      </c>
      <c r="K23" s="11">
        <v>3000</v>
      </c>
      <c r="L23" s="11">
        <v>5</v>
      </c>
      <c r="M23" s="11">
        <v>4000</v>
      </c>
      <c r="N23" s="25">
        <f t="shared" si="22"/>
        <v>5000</v>
      </c>
      <c r="O23" s="26">
        <v>-5000</v>
      </c>
      <c r="P23" s="26">
        <f t="shared" si="21"/>
        <v>5000</v>
      </c>
    </row>
    <row r="24" spans="1:16" x14ac:dyDescent="0.45">
      <c r="B24" s="31">
        <v>3</v>
      </c>
      <c r="C24" s="31">
        <v>3000</v>
      </c>
      <c r="D24" s="31">
        <v>5</v>
      </c>
      <c r="E24" s="31">
        <v>4000</v>
      </c>
      <c r="F24" s="31">
        <f>E24*D24-C24-(B24*E24)</f>
        <v>5000</v>
      </c>
      <c r="J24" s="11">
        <v>5</v>
      </c>
      <c r="K24" s="11">
        <v>2500</v>
      </c>
      <c r="L24" s="11">
        <v>5</v>
      </c>
      <c r="M24" s="11">
        <v>3500</v>
      </c>
      <c r="N24" s="25">
        <f t="shared" si="22"/>
        <v>-2500</v>
      </c>
      <c r="O24" s="26">
        <v>-5000</v>
      </c>
      <c r="P24" s="26">
        <f t="shared" si="21"/>
        <v>-2500</v>
      </c>
    </row>
    <row r="25" spans="1:16" hidden="1" x14ac:dyDescent="0.45">
      <c r="A25">
        <v>10</v>
      </c>
      <c r="B25" s="14">
        <v>3</v>
      </c>
      <c r="C25" s="14">
        <v>2500</v>
      </c>
      <c r="D25" s="14">
        <v>5</v>
      </c>
      <c r="E25" s="11">
        <v>5000</v>
      </c>
      <c r="F25" s="11">
        <f>E25*D25-C25-(B25*E25)</f>
        <v>7500</v>
      </c>
      <c r="J25" s="14">
        <v>4</v>
      </c>
      <c r="K25" s="14">
        <v>4000</v>
      </c>
      <c r="L25" s="14">
        <v>4</v>
      </c>
      <c r="M25" s="11">
        <v>4000</v>
      </c>
      <c r="N25" s="23">
        <f t="shared" si="22"/>
        <v>-4000</v>
      </c>
      <c r="O25" s="22">
        <v>-5000</v>
      </c>
      <c r="P25" s="22">
        <f t="shared" si="21"/>
        <v>-4000</v>
      </c>
    </row>
    <row r="26" spans="1:16" x14ac:dyDescent="0.45">
      <c r="B26" s="31">
        <v>5</v>
      </c>
      <c r="C26" s="31">
        <v>2500</v>
      </c>
      <c r="D26" s="31">
        <v>5</v>
      </c>
      <c r="E26" s="31">
        <v>3500</v>
      </c>
      <c r="F26" s="31">
        <f>E26*D26-C26-(B26*E26)</f>
        <v>-2500</v>
      </c>
      <c r="J26" s="11">
        <v>4</v>
      </c>
      <c r="K26" s="11">
        <v>4000</v>
      </c>
      <c r="L26" s="11">
        <v>4</v>
      </c>
      <c r="M26" s="11">
        <v>3500</v>
      </c>
      <c r="N26" s="25">
        <f t="shared" si="22"/>
        <v>-4000</v>
      </c>
      <c r="O26" s="26">
        <v>-5000</v>
      </c>
      <c r="P26" s="26">
        <f t="shared" si="21"/>
        <v>-4000</v>
      </c>
    </row>
    <row r="27" spans="1:16" x14ac:dyDescent="0.45">
      <c r="B27" s="31">
        <v>4</v>
      </c>
      <c r="C27" s="31">
        <v>4000</v>
      </c>
      <c r="D27" s="31">
        <v>4</v>
      </c>
      <c r="E27" s="31">
        <v>4000</v>
      </c>
      <c r="F27" s="31">
        <f>E27*D27-C27-(B27*E27)</f>
        <v>-4000</v>
      </c>
      <c r="J27" s="11">
        <v>4</v>
      </c>
      <c r="K27" s="11">
        <v>2500</v>
      </c>
      <c r="L27" s="11">
        <v>4</v>
      </c>
      <c r="M27" s="11">
        <v>4000</v>
      </c>
      <c r="N27" s="25">
        <f t="shared" si="22"/>
        <v>-2500</v>
      </c>
      <c r="O27" s="26">
        <v>-5000</v>
      </c>
      <c r="P27" s="26">
        <f t="shared" si="21"/>
        <v>-2500</v>
      </c>
    </row>
    <row r="28" spans="1:16" x14ac:dyDescent="0.45">
      <c r="B28" s="31">
        <v>4</v>
      </c>
      <c r="C28" s="31">
        <v>4000</v>
      </c>
      <c r="D28" s="31">
        <v>4</v>
      </c>
      <c r="E28" s="31">
        <v>3500</v>
      </c>
      <c r="F28" s="31">
        <f>E28*D28-C28-(B28*E28)</f>
        <v>-4000</v>
      </c>
      <c r="J28" s="11">
        <v>4</v>
      </c>
      <c r="K28" s="11">
        <v>2500</v>
      </c>
      <c r="L28" s="11">
        <v>5</v>
      </c>
      <c r="M28" s="11">
        <v>3500</v>
      </c>
      <c r="N28" s="25">
        <f t="shared" si="22"/>
        <v>1000</v>
      </c>
      <c r="O28" s="26">
        <v>-5000</v>
      </c>
      <c r="P28" s="26">
        <f t="shared" si="21"/>
        <v>1000</v>
      </c>
    </row>
    <row r="29" spans="1:16" x14ac:dyDescent="0.45">
      <c r="B29" s="31">
        <v>4</v>
      </c>
      <c r="C29" s="31">
        <v>2500</v>
      </c>
      <c r="D29" s="31">
        <v>4</v>
      </c>
      <c r="E29" s="31">
        <v>4000</v>
      </c>
      <c r="F29" s="31">
        <f>E29*D29-C29-(B29*E29)</f>
        <v>-2500</v>
      </c>
      <c r="J29" s="11">
        <v>4</v>
      </c>
      <c r="K29" s="11">
        <v>2500</v>
      </c>
      <c r="L29" s="11">
        <v>5</v>
      </c>
      <c r="M29" s="15">
        <v>4000</v>
      </c>
      <c r="N29" s="25">
        <f t="shared" si="22"/>
        <v>1500</v>
      </c>
      <c r="O29" s="26">
        <v>-5000</v>
      </c>
      <c r="P29" s="26">
        <f t="shared" si="21"/>
        <v>1500</v>
      </c>
    </row>
    <row r="30" spans="1:16" x14ac:dyDescent="0.45">
      <c r="B30" s="31">
        <v>4</v>
      </c>
      <c r="C30" s="31">
        <v>2500</v>
      </c>
      <c r="D30" s="31">
        <v>5</v>
      </c>
      <c r="E30" s="31">
        <v>3500</v>
      </c>
      <c r="F30" s="31">
        <f>E30*D30-C30-(B30*E30)</f>
        <v>1000</v>
      </c>
      <c r="J30" s="11">
        <v>4</v>
      </c>
      <c r="K30" s="11">
        <v>2500</v>
      </c>
      <c r="L30" s="11">
        <v>5</v>
      </c>
      <c r="M30" s="11">
        <v>3500</v>
      </c>
      <c r="N30" s="25">
        <f t="shared" si="22"/>
        <v>1000</v>
      </c>
      <c r="O30" s="26">
        <v>-5000</v>
      </c>
      <c r="P30" s="26">
        <f t="shared" si="21"/>
        <v>1000</v>
      </c>
    </row>
    <row r="31" spans="1:16" hidden="1" x14ac:dyDescent="0.45">
      <c r="B31" s="14">
        <v>3</v>
      </c>
      <c r="C31" s="14">
        <v>2500</v>
      </c>
      <c r="D31" s="14">
        <v>5</v>
      </c>
      <c r="E31" s="11">
        <v>6000</v>
      </c>
      <c r="F31" s="11">
        <f>E31*D31-C31-(B31*E31)</f>
        <v>9500</v>
      </c>
      <c r="J31" s="14">
        <v>4</v>
      </c>
      <c r="K31" s="14">
        <v>2500</v>
      </c>
      <c r="L31" s="14">
        <v>5</v>
      </c>
      <c r="M31" s="11">
        <v>4000</v>
      </c>
      <c r="N31" s="23">
        <f t="shared" si="22"/>
        <v>1500</v>
      </c>
      <c r="O31" s="22">
        <v>-5000</v>
      </c>
      <c r="P31" s="22">
        <f t="shared" si="21"/>
        <v>1500</v>
      </c>
    </row>
    <row r="32" spans="1:16" hidden="1" x14ac:dyDescent="0.45">
      <c r="B32" s="14">
        <v>3</v>
      </c>
      <c r="C32" s="14">
        <v>2500</v>
      </c>
      <c r="D32" s="14">
        <v>5</v>
      </c>
      <c r="E32" s="11">
        <v>5000</v>
      </c>
      <c r="F32" s="11">
        <f>E32*D32-C32-(B32*E32)</f>
        <v>7500</v>
      </c>
      <c r="M32" s="15"/>
      <c r="N32" s="23">
        <f t="shared" si="22"/>
        <v>0</v>
      </c>
      <c r="O32" s="22">
        <v>-5000</v>
      </c>
      <c r="P32" s="22">
        <f t="shared" si="21"/>
        <v>0</v>
      </c>
    </row>
    <row r="33" spans="2:16" x14ac:dyDescent="0.45">
      <c r="B33" s="31">
        <v>4</v>
      </c>
      <c r="C33" s="31">
        <v>2500</v>
      </c>
      <c r="D33" s="31">
        <v>5</v>
      </c>
      <c r="E33" s="31">
        <v>4000</v>
      </c>
      <c r="F33" s="31">
        <f>E33*D33-C33-(B33*E33)</f>
        <v>1500</v>
      </c>
      <c r="J33" s="11">
        <v>4</v>
      </c>
      <c r="K33" s="11">
        <v>2500</v>
      </c>
      <c r="L33" s="11">
        <v>5</v>
      </c>
      <c r="M33" s="11">
        <v>4000</v>
      </c>
      <c r="N33" s="25">
        <f t="shared" si="22"/>
        <v>1500</v>
      </c>
      <c r="O33" s="26">
        <v>-5000</v>
      </c>
      <c r="P33" s="26">
        <f t="shared" si="21"/>
        <v>1500</v>
      </c>
    </row>
    <row r="34" spans="2:16" x14ac:dyDescent="0.45">
      <c r="E34" s="3" t="s">
        <v>52</v>
      </c>
      <c r="F34" s="32">
        <f>SUBTOTAL(9,F20:F33)</f>
        <v>-12500</v>
      </c>
      <c r="J34" s="1"/>
      <c r="K34" s="1"/>
      <c r="L34" s="1"/>
      <c r="M34" s="1"/>
      <c r="N34" s="27"/>
      <c r="O34" s="28" t="s">
        <v>52</v>
      </c>
      <c r="P34" s="28">
        <f>SUM(P20:P33)</f>
        <v>-6000</v>
      </c>
    </row>
  </sheetData>
  <mergeCells count="1">
    <mergeCell ref="J18:P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0AE3-8BC5-4FC4-B422-AB80D398B654}">
  <dimension ref="A1:U18"/>
  <sheetViews>
    <sheetView tabSelected="1" zoomScale="96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T2" sqref="T2"/>
    </sheetView>
  </sheetViews>
  <sheetFormatPr defaultColWidth="9" defaultRowHeight="14.25" x14ac:dyDescent="0.45"/>
  <cols>
    <col min="1" max="1" width="9.9296875" style="1" bestFit="1" customWidth="1"/>
    <col min="2" max="2" width="31.46484375" style="1" bestFit="1" customWidth="1"/>
    <col min="3" max="3" width="15.46484375" style="1" bestFit="1" customWidth="1"/>
    <col min="4" max="4" width="18.265625" style="1" bestFit="1" customWidth="1"/>
    <col min="5" max="6" width="9.6640625" style="1" bestFit="1" customWidth="1"/>
    <col min="7" max="7" width="14" style="1" bestFit="1" customWidth="1"/>
    <col min="8" max="8" width="13.59765625" style="1" bestFit="1" customWidth="1"/>
    <col min="9" max="9" width="14.53125" style="3" bestFit="1" customWidth="1"/>
    <col min="10" max="10" width="14.53125" style="3" customWidth="1"/>
    <col min="11" max="11" width="20.46484375" style="1" bestFit="1" customWidth="1"/>
    <col min="12" max="12" width="15.46484375" style="1" bestFit="1" customWidth="1"/>
    <col min="13" max="13" width="18.265625" style="1" bestFit="1" customWidth="1"/>
    <col min="14" max="15" width="9.6640625" style="1" bestFit="1" customWidth="1"/>
    <col min="16" max="16" width="14" style="1" bestFit="1" customWidth="1"/>
    <col min="17" max="17" width="10.59765625" style="3" bestFit="1" customWidth="1"/>
    <col min="18" max="18" width="9.9296875" style="3" bestFit="1" customWidth="1"/>
    <col min="19" max="19" width="9.3984375" style="3" bestFit="1" customWidth="1"/>
    <col min="20" max="20" width="11.3984375" style="3" bestFit="1" customWidth="1"/>
    <col min="21" max="21" width="9" style="3"/>
    <col min="22" max="16384" width="9" style="1"/>
  </cols>
  <sheetData>
    <row r="1" spans="1:21" x14ac:dyDescent="0.45">
      <c r="A1" s="13" t="s">
        <v>46</v>
      </c>
      <c r="B1" s="13" t="s">
        <v>32</v>
      </c>
      <c r="C1" s="13" t="s">
        <v>33</v>
      </c>
      <c r="D1" s="13" t="s">
        <v>34</v>
      </c>
      <c r="E1" s="13" t="s">
        <v>3</v>
      </c>
      <c r="F1" s="13" t="s">
        <v>14</v>
      </c>
      <c r="G1" s="13" t="s">
        <v>8</v>
      </c>
      <c r="H1" s="13" t="s">
        <v>48</v>
      </c>
      <c r="I1" s="19" t="s">
        <v>37</v>
      </c>
      <c r="K1" s="20" t="s">
        <v>35</v>
      </c>
      <c r="L1" s="13" t="s">
        <v>33</v>
      </c>
      <c r="M1" s="13" t="s">
        <v>34</v>
      </c>
      <c r="N1" s="13" t="s">
        <v>3</v>
      </c>
      <c r="O1" s="13" t="s">
        <v>14</v>
      </c>
      <c r="P1" s="13" t="s">
        <v>8</v>
      </c>
      <c r="Q1" s="13" t="s">
        <v>36</v>
      </c>
      <c r="R1" s="13" t="s">
        <v>38</v>
      </c>
      <c r="S1" s="13" t="s">
        <v>39</v>
      </c>
      <c r="T1" s="13" t="s">
        <v>47</v>
      </c>
      <c r="U1" s="13" t="s">
        <v>40</v>
      </c>
    </row>
    <row r="2" spans="1:21" x14ac:dyDescent="0.45">
      <c r="A2" s="13">
        <v>1</v>
      </c>
      <c r="B2" s="11">
        <v>0</v>
      </c>
      <c r="C2" s="11">
        <v>0</v>
      </c>
      <c r="D2" s="11">
        <f>C2</f>
        <v>0</v>
      </c>
      <c r="E2" s="11">
        <v>0</v>
      </c>
      <c r="F2" s="11">
        <v>0</v>
      </c>
      <c r="G2" s="11">
        <v>0</v>
      </c>
      <c r="H2" s="11">
        <v>0</v>
      </c>
      <c r="I2" s="13">
        <f>H2</f>
        <v>0</v>
      </c>
      <c r="K2" s="11">
        <v>4</v>
      </c>
      <c r="L2" s="11">
        <v>0.1</v>
      </c>
      <c r="M2" s="11">
        <f>L2</f>
        <v>0.1</v>
      </c>
      <c r="N2" s="11">
        <f>M2-L2</f>
        <v>0</v>
      </c>
      <c r="O2" s="11">
        <f t="shared" ref="O2:O7" si="0">(M2*100)-1</f>
        <v>9</v>
      </c>
      <c r="P2" s="11">
        <v>68</v>
      </c>
      <c r="Q2" s="13">
        <f>_xlfn.XLOOKUP(P2,N$2:N$7,K$2:K$7,,-1)</f>
        <v>6</v>
      </c>
      <c r="R2" s="13">
        <f>MAX(I2)</f>
        <v>0</v>
      </c>
      <c r="S2" s="13">
        <f>R2+Q2</f>
        <v>6</v>
      </c>
      <c r="T2" s="13">
        <f>MAX(R2-I2,0)</f>
        <v>0</v>
      </c>
      <c r="U2" s="13">
        <f>S2-I2</f>
        <v>6</v>
      </c>
    </row>
    <row r="3" spans="1:21" x14ac:dyDescent="0.45">
      <c r="A3" s="13">
        <v>2</v>
      </c>
      <c r="B3" s="11">
        <v>4</v>
      </c>
      <c r="C3" s="11">
        <v>0.1</v>
      </c>
      <c r="D3" s="11">
        <f>D2+C3</f>
        <v>0.1</v>
      </c>
      <c r="E3" s="11">
        <f>F2+1</f>
        <v>1</v>
      </c>
      <c r="F3" s="11">
        <f t="shared" ref="F3:F8" si="1">D3*100-1</f>
        <v>9</v>
      </c>
      <c r="G3" s="11">
        <v>85</v>
      </c>
      <c r="H3" s="11">
        <v>8</v>
      </c>
      <c r="I3" s="13">
        <f t="shared" ref="I3:I11" si="2">I2+H3</f>
        <v>8</v>
      </c>
      <c r="K3" s="11">
        <v>5</v>
      </c>
      <c r="L3" s="11">
        <v>0.4</v>
      </c>
      <c r="M3" s="11">
        <f>M2+L3</f>
        <v>0.5</v>
      </c>
      <c r="N3" s="11">
        <f>O2+1</f>
        <v>10</v>
      </c>
      <c r="O3" s="11">
        <f t="shared" si="0"/>
        <v>49</v>
      </c>
      <c r="P3" s="11">
        <v>26</v>
      </c>
      <c r="Q3" s="3">
        <f>_xlfn.XLOOKUP(P3,N2:N7,K2:K7,,-1)</f>
        <v>5</v>
      </c>
      <c r="R3" s="13">
        <f>MAX(I3,S2)</f>
        <v>8</v>
      </c>
      <c r="S3" s="13">
        <f t="shared" ref="S3:S11" si="3">R3+Q3</f>
        <v>13</v>
      </c>
      <c r="T3" s="13">
        <f t="shared" ref="T3:T11" si="4">MAX(R3-I3,0)</f>
        <v>0</v>
      </c>
      <c r="U3" s="13">
        <f t="shared" ref="U3:U11" si="5">S3-I3</f>
        <v>5</v>
      </c>
    </row>
    <row r="4" spans="1:21" x14ac:dyDescent="0.45">
      <c r="A4" s="13">
        <v>3</v>
      </c>
      <c r="B4" s="11">
        <v>5</v>
      </c>
      <c r="C4" s="11">
        <v>0.3</v>
      </c>
      <c r="D4" s="11">
        <f t="shared" ref="D4:D8" si="6">D3+C4</f>
        <v>0.4</v>
      </c>
      <c r="E4" s="11">
        <f t="shared" ref="E4:E8" si="7">F3+1</f>
        <v>10</v>
      </c>
      <c r="F4" s="11">
        <f t="shared" si="1"/>
        <v>39</v>
      </c>
      <c r="G4" s="11">
        <v>16</v>
      </c>
      <c r="H4" s="11">
        <f t="shared" ref="H4:H11" si="8">_xlfn.XLOOKUP(G4,E$2:E$8,B$2:B$8,,-1)</f>
        <v>5</v>
      </c>
      <c r="I4" s="13">
        <f t="shared" si="2"/>
        <v>13</v>
      </c>
      <c r="K4" s="11">
        <v>6</v>
      </c>
      <c r="L4" s="11">
        <v>0.2</v>
      </c>
      <c r="M4" s="11">
        <f>M3+L4</f>
        <v>0.7</v>
      </c>
      <c r="N4" s="11">
        <f>O3+1</f>
        <v>50</v>
      </c>
      <c r="O4" s="11">
        <f t="shared" si="0"/>
        <v>69</v>
      </c>
      <c r="P4" s="11">
        <v>85</v>
      </c>
      <c r="Q4" s="13">
        <f t="shared" ref="Q4:Q11" si="9">_xlfn.XLOOKUP(P4,N$2:N$7,K$2:K$7,,-1)</f>
        <v>8</v>
      </c>
      <c r="R4" s="13">
        <f t="shared" ref="R4:R11" si="10">MAX(I4,S3)</f>
        <v>13</v>
      </c>
      <c r="S4" s="13">
        <f t="shared" si="3"/>
        <v>21</v>
      </c>
      <c r="T4" s="13">
        <f t="shared" si="4"/>
        <v>0</v>
      </c>
      <c r="U4" s="13">
        <f t="shared" si="5"/>
        <v>8</v>
      </c>
    </row>
    <row r="5" spans="1:21" x14ac:dyDescent="0.45">
      <c r="A5" s="13">
        <v>4</v>
      </c>
      <c r="B5" s="11">
        <v>6</v>
      </c>
      <c r="C5" s="11">
        <v>0.25</v>
      </c>
      <c r="D5" s="11">
        <f t="shared" si="6"/>
        <v>0.65</v>
      </c>
      <c r="E5" s="11">
        <f t="shared" si="7"/>
        <v>40</v>
      </c>
      <c r="F5" s="11">
        <f t="shared" si="1"/>
        <v>64</v>
      </c>
      <c r="G5" s="11">
        <v>65</v>
      </c>
      <c r="H5" s="11">
        <f t="shared" si="8"/>
        <v>7</v>
      </c>
      <c r="I5" s="13">
        <f t="shared" si="2"/>
        <v>20</v>
      </c>
      <c r="K5" s="11">
        <v>7</v>
      </c>
      <c r="L5" s="11">
        <v>0.15</v>
      </c>
      <c r="M5" s="11">
        <f>M4+L5</f>
        <v>0.85</v>
      </c>
      <c r="N5" s="11">
        <f>O4+1</f>
        <v>70</v>
      </c>
      <c r="O5" s="11">
        <f t="shared" si="0"/>
        <v>84</v>
      </c>
      <c r="P5" s="11">
        <v>11</v>
      </c>
      <c r="Q5" s="13">
        <f t="shared" si="9"/>
        <v>5</v>
      </c>
      <c r="R5" s="13">
        <f t="shared" si="10"/>
        <v>21</v>
      </c>
      <c r="S5" s="13">
        <f t="shared" si="3"/>
        <v>26</v>
      </c>
      <c r="T5" s="13">
        <f t="shared" si="4"/>
        <v>1</v>
      </c>
      <c r="U5" s="13">
        <f t="shared" si="5"/>
        <v>6</v>
      </c>
    </row>
    <row r="6" spans="1:21" x14ac:dyDescent="0.45">
      <c r="A6" s="13">
        <v>5</v>
      </c>
      <c r="B6" s="11">
        <v>7</v>
      </c>
      <c r="C6" s="11">
        <v>0.2</v>
      </c>
      <c r="D6" s="11">
        <f t="shared" si="6"/>
        <v>0.85000000000000009</v>
      </c>
      <c r="E6" s="11">
        <f t="shared" si="7"/>
        <v>65</v>
      </c>
      <c r="F6" s="11">
        <f t="shared" si="1"/>
        <v>84.000000000000014</v>
      </c>
      <c r="G6" s="11">
        <v>76</v>
      </c>
      <c r="H6" s="11">
        <f t="shared" si="8"/>
        <v>7</v>
      </c>
      <c r="I6" s="13">
        <f t="shared" si="2"/>
        <v>27</v>
      </c>
      <c r="K6" s="11">
        <v>8</v>
      </c>
      <c r="L6" s="11">
        <v>0.1</v>
      </c>
      <c r="M6" s="11">
        <f>M5+L6</f>
        <v>0.95</v>
      </c>
      <c r="N6" s="11">
        <f>O5+1</f>
        <v>85</v>
      </c>
      <c r="O6" s="11">
        <f t="shared" si="0"/>
        <v>94</v>
      </c>
      <c r="P6" s="11">
        <v>16</v>
      </c>
      <c r="Q6" s="13">
        <f t="shared" si="9"/>
        <v>5</v>
      </c>
      <c r="R6" s="13">
        <f t="shared" si="10"/>
        <v>27</v>
      </c>
      <c r="S6" s="13">
        <f t="shared" si="3"/>
        <v>32</v>
      </c>
      <c r="T6" s="13">
        <f t="shared" si="4"/>
        <v>0</v>
      </c>
      <c r="U6" s="13">
        <f t="shared" si="5"/>
        <v>5</v>
      </c>
    </row>
    <row r="7" spans="1:21" x14ac:dyDescent="0.45">
      <c r="A7" s="13">
        <v>6</v>
      </c>
      <c r="B7" s="11">
        <v>8</v>
      </c>
      <c r="C7" s="11">
        <v>0.1</v>
      </c>
      <c r="D7" s="11">
        <f t="shared" si="6"/>
        <v>0.95000000000000007</v>
      </c>
      <c r="E7" s="11">
        <f t="shared" si="7"/>
        <v>85.000000000000014</v>
      </c>
      <c r="F7" s="11">
        <f t="shared" si="1"/>
        <v>94</v>
      </c>
      <c r="G7" s="11">
        <v>93</v>
      </c>
      <c r="H7" s="11">
        <f t="shared" si="8"/>
        <v>8</v>
      </c>
      <c r="I7" s="13">
        <f t="shared" si="2"/>
        <v>35</v>
      </c>
      <c r="K7" s="11">
        <v>9</v>
      </c>
      <c r="L7" s="11">
        <v>0.05</v>
      </c>
      <c r="M7" s="11">
        <f>M6+L7</f>
        <v>1</v>
      </c>
      <c r="N7" s="11">
        <f>O6+1</f>
        <v>95</v>
      </c>
      <c r="O7" s="11">
        <f t="shared" si="0"/>
        <v>99</v>
      </c>
      <c r="P7" s="11">
        <v>26</v>
      </c>
      <c r="Q7" s="13">
        <f t="shared" si="9"/>
        <v>5</v>
      </c>
      <c r="R7" s="13">
        <f t="shared" si="10"/>
        <v>35</v>
      </c>
      <c r="S7" s="13">
        <f t="shared" si="3"/>
        <v>40</v>
      </c>
      <c r="T7" s="13">
        <f t="shared" si="4"/>
        <v>0</v>
      </c>
      <c r="U7" s="13">
        <f t="shared" si="5"/>
        <v>5</v>
      </c>
    </row>
    <row r="8" spans="1:21" x14ac:dyDescent="0.45">
      <c r="A8" s="13">
        <v>7</v>
      </c>
      <c r="B8" s="11">
        <v>9</v>
      </c>
      <c r="C8" s="11">
        <v>0.05</v>
      </c>
      <c r="D8" s="11">
        <f t="shared" si="6"/>
        <v>1</v>
      </c>
      <c r="E8" s="11">
        <f t="shared" si="7"/>
        <v>95</v>
      </c>
      <c r="F8" s="11">
        <f t="shared" si="1"/>
        <v>99</v>
      </c>
      <c r="G8" s="11">
        <v>99</v>
      </c>
      <c r="H8" s="11">
        <f t="shared" si="8"/>
        <v>9</v>
      </c>
      <c r="I8" s="13">
        <f t="shared" si="2"/>
        <v>44</v>
      </c>
      <c r="K8" s="11"/>
      <c r="L8" s="11"/>
      <c r="M8" s="11"/>
      <c r="N8" s="11"/>
      <c r="O8" s="11"/>
      <c r="P8" s="11">
        <v>95</v>
      </c>
      <c r="Q8" s="13">
        <f t="shared" si="9"/>
        <v>9</v>
      </c>
      <c r="R8" s="13">
        <f t="shared" si="10"/>
        <v>44</v>
      </c>
      <c r="S8" s="13">
        <f t="shared" si="3"/>
        <v>53</v>
      </c>
      <c r="T8" s="13">
        <f t="shared" si="4"/>
        <v>0</v>
      </c>
      <c r="U8" s="13">
        <f t="shared" si="5"/>
        <v>9</v>
      </c>
    </row>
    <row r="9" spans="1:21" x14ac:dyDescent="0.45">
      <c r="A9" s="13">
        <v>8</v>
      </c>
      <c r="B9" s="11"/>
      <c r="C9" s="11"/>
      <c r="D9" s="11"/>
      <c r="E9" s="11"/>
      <c r="F9" s="11"/>
      <c r="G9" s="11">
        <v>65</v>
      </c>
      <c r="H9" s="11">
        <f t="shared" si="8"/>
        <v>7</v>
      </c>
      <c r="I9" s="13">
        <f t="shared" si="2"/>
        <v>51</v>
      </c>
      <c r="K9" s="11"/>
      <c r="L9" s="11"/>
      <c r="M9" s="11"/>
      <c r="N9" s="11"/>
      <c r="O9" s="11"/>
      <c r="P9" s="11">
        <v>67</v>
      </c>
      <c r="Q9" s="13">
        <f t="shared" si="9"/>
        <v>6</v>
      </c>
      <c r="R9" s="13">
        <f t="shared" si="10"/>
        <v>53</v>
      </c>
      <c r="S9" s="13">
        <f t="shared" si="3"/>
        <v>59</v>
      </c>
      <c r="T9" s="13">
        <f t="shared" si="4"/>
        <v>2</v>
      </c>
      <c r="U9" s="13">
        <f t="shared" si="5"/>
        <v>8</v>
      </c>
    </row>
    <row r="10" spans="1:21" x14ac:dyDescent="0.45">
      <c r="A10" s="13">
        <v>9</v>
      </c>
      <c r="B10" s="11"/>
      <c r="C10" s="11"/>
      <c r="D10" s="11"/>
      <c r="E10" s="11"/>
      <c r="F10" s="11"/>
      <c r="G10" s="11">
        <v>70</v>
      </c>
      <c r="H10" s="11">
        <f t="shared" si="8"/>
        <v>7</v>
      </c>
      <c r="I10" s="13">
        <f t="shared" si="2"/>
        <v>58</v>
      </c>
      <c r="K10" s="11"/>
      <c r="L10" s="11"/>
      <c r="M10" s="11"/>
      <c r="N10" s="11"/>
      <c r="O10" s="11"/>
      <c r="P10" s="11">
        <v>97</v>
      </c>
      <c r="Q10" s="13">
        <f t="shared" si="9"/>
        <v>9</v>
      </c>
      <c r="R10" s="13">
        <f t="shared" si="10"/>
        <v>59</v>
      </c>
      <c r="S10" s="13">
        <f t="shared" si="3"/>
        <v>68</v>
      </c>
      <c r="T10" s="13">
        <f t="shared" si="4"/>
        <v>1</v>
      </c>
      <c r="U10" s="13">
        <f t="shared" si="5"/>
        <v>10</v>
      </c>
    </row>
    <row r="11" spans="1:21" x14ac:dyDescent="0.45">
      <c r="A11" s="13">
        <v>10</v>
      </c>
      <c r="B11" s="11"/>
      <c r="C11" s="11"/>
      <c r="D11" s="11"/>
      <c r="E11" s="11"/>
      <c r="F11" s="11"/>
      <c r="G11" s="11">
        <v>58</v>
      </c>
      <c r="H11" s="11">
        <f t="shared" si="8"/>
        <v>6</v>
      </c>
      <c r="I11" s="13">
        <f t="shared" si="2"/>
        <v>64</v>
      </c>
      <c r="K11" s="11"/>
      <c r="L11" s="11"/>
      <c r="M11" s="11"/>
      <c r="N11" s="11"/>
      <c r="O11" s="11"/>
      <c r="P11" s="11">
        <v>73</v>
      </c>
      <c r="Q11" s="13">
        <f t="shared" si="9"/>
        <v>7</v>
      </c>
      <c r="R11" s="13">
        <f t="shared" si="10"/>
        <v>68</v>
      </c>
      <c r="S11" s="13">
        <f t="shared" si="3"/>
        <v>75</v>
      </c>
      <c r="T11" s="13">
        <f t="shared" si="4"/>
        <v>4</v>
      </c>
      <c r="U11" s="13">
        <f t="shared" si="5"/>
        <v>11</v>
      </c>
    </row>
    <row r="14" spans="1:21" x14ac:dyDescent="0.45">
      <c r="B14" s="18" t="s">
        <v>41</v>
      </c>
      <c r="C14" s="16"/>
      <c r="D14" s="16"/>
      <c r="E14" s="16"/>
      <c r="F14" s="17"/>
      <c r="G14" s="17"/>
      <c r="H14" s="17"/>
      <c r="I14" s="17"/>
      <c r="J14" s="17" t="str">
        <f>AVERAGE(H2:H11)&amp;" minutes."</f>
        <v>6.4 minutes.</v>
      </c>
    </row>
    <row r="15" spans="1:21" x14ac:dyDescent="0.45">
      <c r="B15" s="18" t="s">
        <v>42</v>
      </c>
      <c r="C15" s="16"/>
      <c r="D15" s="17"/>
      <c r="E15" s="16"/>
      <c r="F15" s="17"/>
      <c r="G15" s="17"/>
      <c r="H15" s="17"/>
      <c r="I15" s="17"/>
      <c r="J15" s="17" t="str">
        <f>SUM(H2:H4)&amp;" minutes."</f>
        <v>13 minutes.</v>
      </c>
    </row>
    <row r="16" spans="1:21" x14ac:dyDescent="0.45">
      <c r="B16" s="18" t="s">
        <v>45</v>
      </c>
      <c r="C16" s="16"/>
      <c r="D16" s="17"/>
      <c r="E16" s="16"/>
      <c r="F16" s="17"/>
      <c r="G16" s="17"/>
      <c r="H16" s="17"/>
      <c r="I16" s="17"/>
      <c r="J16" s="17" t="str">
        <f>S7&amp;" minutes."</f>
        <v>40 minutes.</v>
      </c>
    </row>
    <row r="17" spans="2:10" x14ac:dyDescent="0.45">
      <c r="B17" s="18" t="s">
        <v>43</v>
      </c>
      <c r="C17" s="16"/>
      <c r="D17" s="17"/>
      <c r="E17" s="17"/>
      <c r="F17" s="17"/>
      <c r="G17" s="17"/>
      <c r="H17" s="17"/>
      <c r="I17" s="17"/>
      <c r="J17" s="17" t="str">
        <f>AVERAGE(U2:U11)&amp;" minutes."</f>
        <v>7.3 minutes.</v>
      </c>
    </row>
    <row r="18" spans="2:10" x14ac:dyDescent="0.45">
      <c r="B18" s="18" t="s">
        <v>44</v>
      </c>
      <c r="C18" s="16"/>
      <c r="D18" s="17"/>
      <c r="E18" s="17"/>
      <c r="F18" s="17"/>
      <c r="G18" s="17"/>
      <c r="H18" s="17"/>
      <c r="I18" s="17"/>
      <c r="J18" s="17" t="str">
        <f>AVERAGE(Q2:Q11)&amp;" minutes."</f>
        <v>6.5 minutes.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Milk Profit forecasting</vt:lpstr>
      <vt:lpstr>Car Service Ramaining Forecasti</vt:lpstr>
      <vt:lpstr>Profit &amp; Loss Forecasting</vt:lpstr>
      <vt:lpstr>Tuscon Mills</vt:lpstr>
      <vt:lpstr>'Profit &amp; Loss Forecasting'!Extract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TRIPATHI</dc:creator>
  <cp:lastModifiedBy>ARPIT TRIPATHI</cp:lastModifiedBy>
  <dcterms:created xsi:type="dcterms:W3CDTF">2026-08-02T09:30:14Z</dcterms:created>
  <dcterms:modified xsi:type="dcterms:W3CDTF">2026-08-13T16:57:31Z</dcterms:modified>
</cp:coreProperties>
</file>